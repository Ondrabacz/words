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4c574085d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 Master" sheetId="1" r:id="R2cadfb8bfd6e4778"/>
    <x:sheet xmlns:r="http://schemas.openxmlformats.org/officeDocument/2006/relationships" name="Current only" sheetId="2" r:id="Rf397331e3c824326"/>
    <x:sheet xmlns:r="http://schemas.openxmlformats.org/officeDocument/2006/relationships" name="All observations" sheetId="3" r:id="Ra17f9f5d85ec47c9"/>
    <x:sheet xmlns:r="http://schemas.openxmlformats.org/officeDocument/2006/relationships" name="Summary" sheetId="4" r:id="Rc07062845f554c10"/>
    <x:sheet xmlns:r="http://schemas.openxmlformats.org/officeDocument/2006/relationships" name="Gaps &amp; refresh" sheetId="5" r:id="R6c130498b0b9456b"/>
    <x:sheet xmlns:r="http://schemas.openxmlformats.org/officeDocument/2006/relationships" name="Methodology" sheetId="6" r:id="R140fe89d1dcf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 &quot;m&quot;"/>
    <x:numFmt numFmtId="203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i/>
      <x:sz val="11"/>
      <x:color rgb="FF111827"/>
      <x:name val="Carlito"/>
    </x:font>
    <x:font>
      <x:b/>
      <x:sz val="11"/>
      <x:color rgb="FF14213D"/>
      <x:name val="Carlito"/>
    </x:font>
    <x:font>
      <x:b/>
      <x:sz val="18"/>
      <x:color rgb="FF0F766E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FF4D6"/>
      </x:patternFill>
    </x:fill>
    <x:fill>
      <x:patternFill patternType="solid">
        <x:fgColor rgb="FFEAF2F8"/>
      </x:patternFill>
    </x:fill>
    <x:fill>
      <x:patternFill patternType="solid">
        <x:fgColor rgb="FFE8F5F2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166534"/>
      </x:font>
      <x:fill>
        <x:patternFill patternType="solid">
          <x:bgColor rgb="FFE9F7EF"/>
        </x:patternFill>
      </x:fill>
    </x:dxf>
    <x:dxf>
      <x:font>
        <x:color rgb="FF991B1B"/>
      </x:font>
      <x:fill>
        <x:patternFill patternType="solid">
          <x:bgColor rgb="FFFDECEC"/>
        </x:patternFill>
      </x:fill>
    </x:dxf>
    <x:dxf>
      <x:font>
        <x:b/>
        <x:color rgb="FF166534"/>
      </x:font>
      <x:fill>
        <x:patternFill patternType="solid">
          <x:bgColor rgb="FFE9F7EF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  <x:dxf>
      <x:font>
        <x:b/>
        <x:color rgb="FF9A3412"/>
      </x:font>
      <x:fill>
        <x:patternFill patternType="solid">
          <x:bgColor rgb="FFFFF0E0"/>
        </x:patternFill>
      </x:fill>
    </x:dxf>
    <x:dxf>
      <x:font>
        <x:b/>
        <x:color rgb="FF166534"/>
      </x:font>
      <x:fill>
        <x:patternFill patternType="solid">
          <x:bgColor rgb="FFE9F7EF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  <x:dxf>
      <x:font>
        <x:b/>
        <x:color rgb="FF9A3412"/>
      </x:font>
      <x:fill>
        <x:patternFill patternType="solid">
          <x:bgColor rgb="FFFFF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d79015aa44f52" /><Relationship Type="http://schemas.openxmlformats.org/officeDocument/2006/relationships/theme" Target="/xl/theme/theme1.xml" Id="Re6f6f5ec3ca14162" /><Relationship Type="http://schemas.openxmlformats.org/officeDocument/2006/relationships/sharedStrings" Target="/xl/sharedStrings.xml" Id="R9bbcd222b7f542f6" /><Relationship Type="http://schemas.openxmlformats.org/officeDocument/2006/relationships/worksheet" Target="/xl/worksheets/sheet1.xml" Id="R2cadfb8bfd6e4778" /><Relationship Type="http://schemas.openxmlformats.org/officeDocument/2006/relationships/worksheet" Target="/xl/worksheets/sheet2.xml" Id="Rf397331e3c824326" /><Relationship Type="http://schemas.openxmlformats.org/officeDocument/2006/relationships/worksheet" Target="/xl/worksheets/sheet3.xml" Id="Ra17f9f5d85ec47c9" /><Relationship Type="http://schemas.openxmlformats.org/officeDocument/2006/relationships/worksheet" Target="/xl/worksheets/sheet4.xml" Id="Rc07062845f554c10" /><Relationship Type="http://schemas.openxmlformats.org/officeDocument/2006/relationships/worksheet" Target="/xl/worksheets/sheet5.xml" Id="R6c130498b0b9456b" /><Relationship Type="http://schemas.openxmlformats.org/officeDocument/2006/relationships/worksheet" Target="/xl/worksheets/sheet6.xml" Id="R140fe89d1dcf43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df9d9a8beb4388" /><Relationship Type="http://schemas.openxmlformats.org/officeDocument/2006/relationships/chart" Target="/xl/drawings/charts/chart2.xml" Id="Rb9398f4c3a0b4d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15 programs by disclosed membership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Members (m)</c:v>
          </c:tx>
          <c:cat>
            <c:strRef>
              <c:f>'Summary'!$E$9:$E$23</c:f>
              <c:strCache>
                <c:ptCount val="0"/>
              </c:strCache>
            </c:strRef>
          </c:cat>
          <c:val>
            <c:numRef>
              <c:f>'Summary'!$F$9:$F$23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Number of programs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Program count</c:v>
          </c:tx>
          <c:cat>
            <c:strRef>
              <c:f>'Summary'!$A$9:$A$27</c:f>
              <c:strCache>
                <c:ptCount val="0"/>
              </c:strCache>
            </c:strRef>
          </c:cat>
          <c:val>
            <c:numRef>
              <c:f>'Summary'!$B$9:$B$27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df9d9a8beb4388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398f4c3a0b4da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yaltyProgramMaster" displayName="LoyaltyProgramMaster" ref="A3:P148" headerRowCount="1">
  <x:tableColumns count="16">
    <x:tableColumn id="1" name="Rank"/>
    <x:tableColumn id="2" name="Program"/>
    <x:tableColumn id="3" name="Parent company"/>
    <x:tableColumn id="4" name="Category"/>
    <x:tableColumn id="5" name="Region"/>
    <x:tableColumn id="6" name="Members (million)"/>
    <x:tableColumn id="7" name="Data year"/>
    <x:tableColumn id="8" name="Metric definition"/>
    <x:tableColumn id="9" name="Publication date"/>
    <x:tableColumn id="10" name="Freshness"/>
    <x:tableColumn id="11" name="Source quality"/>
    <x:tableColumn id="12" name="Source type"/>
    <x:tableColumn id="13" name="Underlying source / evidence"/>
    <x:tableColumn id="14" name="Source document"/>
    <x:tableColumn id="15" name="Source URL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urrentLoyaltyPrograms" displayName="CurrentLoyaltyPrograms" ref="A3:P134" headerRowCount="1">
  <x:tableColumns count="16">
    <x:tableColumn id="1" name="Rank"/>
    <x:tableColumn id="2" name="Program"/>
    <x:tableColumn id="3" name="Parent company"/>
    <x:tableColumn id="4" name="Category"/>
    <x:tableColumn id="5" name="Region"/>
    <x:tableColumn id="6" name="Members (million)"/>
    <x:tableColumn id="7" name="Data year"/>
    <x:tableColumn id="8" name="Metric definition"/>
    <x:tableColumn id="9" name="Publication date"/>
    <x:tableColumn id="10" name="Freshness"/>
    <x:tableColumn id="11" name="Source quality"/>
    <x:tableColumn id="12" name="Source type"/>
    <x:tableColumn id="13" name="Underlying source / evidence"/>
    <x:tableColumn id="14" name="Source document"/>
    <x:tableColumn id="15" name="Source URL"/>
    <x:tableColumn id="1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llLoyaltyObservations" displayName="AllLoyaltyObservations" ref="A3:P196" headerRowCount="1">
  <x:tableColumns count="16">
    <x:tableColumn id="1" name="Observation ID"/>
    <x:tableColumn id="2" name="Program"/>
    <x:tableColumn id="3" name="Parent company"/>
    <x:tableColumn id="4" name="Category"/>
    <x:tableColumn id="5" name="Region"/>
    <x:tableColumn id="6" name="Members (million)"/>
    <x:tableColumn id="7" name="Data year"/>
    <x:tableColumn id="8" name="Metric definition"/>
    <x:tableColumn id="9" name="Publication date"/>
    <x:tableColumn id="10" name="Freshness"/>
    <x:tableColumn id="11" name="Source quality"/>
    <x:tableColumn id="12" name="Source type"/>
    <x:tableColumn id="13" name="Underlying source / evidence"/>
    <x:tableColumn id="14" name="Source document"/>
    <x:tableColumn id="15" name="Source URL"/>
    <x:tableColumn id="1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LoyaltyProgramGaps" displayName="LoyaltyProgramGaps" ref="A3:E23" headerRowCount="1">
  <x:tableColumns count="5">
    <x:tableColumn id="1" name="Program"/>
    <x:tableColumn id="2" name="Parent company"/>
    <x:tableColumn id="3" name="Category"/>
    <x:tableColumn id="4" name="Region"/>
    <x:tableColumn id="5" name="Why it is not in the ranked master / action need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bd6898cbff44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c65923fca944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54ca5f6fb840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b3e3458931048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ac2753a4ae427e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9" hidden="0" customWidth="1"/>
    <x:col min="3" max="3" width="27" hidden="0" customWidth="1"/>
    <x:col min="4" max="4" width="23" hidden="0" customWidth="1"/>
    <x:col min="5" max="5" width="20" hidden="0" customWidth="1"/>
    <x:col min="6" max="6" width="15" hidden="0" customWidth="1"/>
    <x:col min="7" max="7" width="10" hidden="0" customWidth="1"/>
    <x:col min="8" max="8" width="28" hidden="0" customWidth="1"/>
    <x:col min="9" max="9" width="15" hidden="0" customWidth="1"/>
    <x:col min="10" max="10" width="18" hidden="0" customWidth="1"/>
    <x:col min="11" max="11" width="13" hidden="0" customWidth="1"/>
    <x:col min="12" max="12" width="30" hidden="0" customWidth="1"/>
    <x:col min="13" max="13" width="35" hidden="0" customWidth="1"/>
    <x:col min="14" max="14" width="31" hidden="0" customWidth="1"/>
    <x:col min="15" max="15" width="40" hidden="0" customWidth="1"/>
    <x:col min="16" max="16" width="46" hidden="0" customWidth="1"/>
  </x:cols>
  <x:sheetData>
    <x:row r="1" ht="32" customHeight="1">
      <x:c r="A1" s="4" t="str">
        <x:v>World’s Largest Loyalty &amp; Rewards Programs | 145 unique programs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34" customHeight="1">
      <x:c r="A3" s="11" t="str">
        <x:v>Rank</x:v>
      </x:c>
      <x:c r="B3" s="11" t="str">
        <x:v>Program</x:v>
      </x:c>
      <x:c r="C3" s="11" t="str">
        <x:v>Parent company</x:v>
      </x:c>
      <x:c r="D3" s="11" t="str">
        <x:v>Category</x:v>
      </x:c>
      <x:c r="E3" s="11" t="str">
        <x:v>Region</x:v>
      </x:c>
      <x:c r="F3" s="11" t="str">
        <x:v>Members (million)</x:v>
      </x:c>
      <x:c r="G3" s="11" t="str">
        <x:v>Data year</x:v>
      </x:c>
      <x:c r="H3" s="11" t="str">
        <x:v>Metric definition</x:v>
      </x:c>
      <x:c r="I3" s="11" t="str">
        <x:v>Publication date</x:v>
      </x:c>
      <x:c r="J3" s="11" t="str">
        <x:v>Freshness</x:v>
      </x:c>
      <x:c r="K3" s="11" t="str">
        <x:v>Source quality</x:v>
      </x:c>
      <x:c r="L3" s="11" t="str">
        <x:v>Source type</x:v>
      </x:c>
      <x:c r="M3" s="11" t="str">
        <x:v>Underlying source / evidence</x:v>
      </x:c>
      <x:c r="N3" s="11" t="str">
        <x:v>Source document</x:v>
      </x:c>
      <x:c r="O3" s="11" t="str">
        <x:v>Source URL</x:v>
      </x:c>
      <x:c r="P3" s="11" t="str">
        <x:v>Notes</x:v>
      </x:c>
    </x:row>
    <x:row r="4">
      <x:c r="A4" s="24" t="n">
        <x:f>COUNTIF($F$4:$F$148,"&gt;"&amp;F4)+1</x:f>
        <x:v>1</x:v>
      </x:c>
      <x:c r="B4" s="18" t="str">
        <x:v>KFC Rewards / KFC loyalty ecosystem</x:v>
      </x:c>
      <x:c r="C4" s="18" t="str">
        <x:v>Yum! Brands / Yum China</x:v>
      </x:c>
      <x:c r="D4" s="18" t="str">
        <x:v>Restaurants &amp; QSR</x:v>
      </x:c>
      <x:c r="E4" s="18" t="str">
        <x:v>Global / China-heavy</x:v>
      </x:c>
      <x:c r="F4" s="20" t="n">
        <x:v>550</x:v>
      </x:c>
      <x:c r="G4" s="22" t="n">
        <x:v>2025</x:v>
      </x:c>
      <x:c r="H4" s="18" t="str">
        <x:v>Loyalty members / users</x:v>
      </x:c>
      <x:c r="I4" s="18" t="str">
        <x:v>Feb-2026</x:v>
      </x:c>
      <x:c r="J4" s="18" t="str">
        <x:v>Current (≤4 years)</x:v>
      </x:c>
      <x:c r="K4" s="18" t="str">
        <x:v>B</x:v>
      </x:c>
      <x:c r="L4" s="18" t="str">
        <x:v>2026 industry report with cited underlying source</x:v>
      </x:c>
      <x:c r="M4" s="18" t="str">
        <x:v>Yum China 2025 Results, p.27</x:v>
      </x:c>
      <x:c r="N4" s="18" t="str">
        <x:v>The World's Largest Loyalty Programs (2026)</x:v>
      </x:c>
      <x:c r="O4" s="18" t="str">
        <x:v>https://retailtechinnovationhub.squarespace.com/s/Capillary-Edition-WLLP-Approved.pdf</x:v>
      </x:c>
      <x:c r="P4" s="18" t="str">
        <x:v>Report's top-ranked KFC loyalty base; geography/definition should be checked before direct comparison.</x:v>
      </x:c>
    </x:row>
    <x:row r="5">
      <x:c r="A5" s="24" t="n">
        <x:f>COUNTIF($F$4:$F$148,"&gt;"&amp;F5)+1</x:f>
        <x:v>2</x:v>
      </x:c>
      <x:c r="B5" s="18" t="str">
        <x:v>adiClub</x:v>
      </x:c>
      <x:c r="C5" s="18" t="str">
        <x:v>adidas AG</x:v>
      </x:c>
      <x:c r="D5" s="18" t="str">
        <x:v>Retail &amp; consumer brands</x:v>
      </x:c>
      <x:c r="E5" s="18" t="str">
        <x:v>Global</x:v>
      </x:c>
      <x:c r="F5" s="20" t="n">
        <x:v>330</x:v>
      </x:c>
      <x:c r="G5" s="22" t="n">
        <x:v>2025</x:v>
      </x:c>
      <x:c r="H5" s="18" t="str">
        <x:v>Members</x:v>
      </x:c>
      <x:c r="I5" s="18" t="str">
        <x:v>Sep-2025</x:v>
      </x:c>
      <x:c r="J5" s="18" t="str">
        <x:v>Current (≤4 years)</x:v>
      </x:c>
      <x:c r="K5" s="18" t="str">
        <x:v>C</x:v>
      </x:c>
      <x:c r="L5" s="18" t="str">
        <x:v>2026 industry report with cited underlying source</x:v>
      </x:c>
      <x:c r="M5" s="18" t="str">
        <x:v>Loyalty Award Magazine, p.11</x:v>
      </x:c>
      <x:c r="N5" s="18" t="str">
        <x:v>The World's Largest Loyalty Programs (2026)</x:v>
      </x:c>
      <x:c r="O5" s="18" t="str">
        <x:v>https://retailtechinnovationhub.squarespace.com/s/Capillary-Edition-WLLP-Approved.pdf</x:v>
      </x:c>
      <x:c r="P5" s="18" t="str"/>
    </x:row>
    <x:row r="6">
      <x:c r="A6" s="24" t="n">
        <x:f>COUNTIF($F$4:$F$148,"&gt;"&amp;F6)+1</x:f>
        <x:v>3</x:v>
      </x:c>
      <x:c r="B6" s="18" t="str">
        <x:v>Nike Membership</x:v>
      </x:c>
      <x:c r="C6" s="18" t="str">
        <x:v>NIKE, Inc.</x:v>
      </x:c>
      <x:c r="D6" s="18" t="str">
        <x:v>Retail &amp; consumer brands</x:v>
      </x:c>
      <x:c r="E6" s="18" t="str">
        <x:v>Global</x:v>
      </x:c>
      <x:c r="F6" s="20" t="n">
        <x:v>300</x:v>
      </x:c>
      <x:c r="G6" s="22" t="n">
        <x:v>2021</x:v>
      </x:c>
      <x:c r="H6" s="18" t="str">
        <x:v>Members</x:v>
      </x:c>
      <x:c r="I6" s="18" t="str">
        <x:v>Jun-2021</x:v>
      </x:c>
      <x:c r="J6" s="18" t="str">
        <x:v>Older than 4 years</x:v>
      </x:c>
      <x:c r="K6" s="18" t="str">
        <x:v>C</x:v>
      </x:c>
      <x:c r="L6" s="18" t="str">
        <x:v>2026 industry report with cited underlying source</x:v>
      </x:c>
      <x:c r="M6" s="18" t="str">
        <x:v>Nike earnings-call transcript, p.7</x:v>
      </x:c>
      <x:c r="N6" s="18" t="str">
        <x:v>The World's Largest Loyalty Programs (2026)</x:v>
      </x:c>
      <x:c r="O6" s="18" t="str">
        <x:v>https://retailtechinnovationhub.squarespace.com/s/Capillary-Edition-WLLP-Approved.pdf</x:v>
      </x:c>
      <x:c r="P6" s="18" t="str">
        <x:v>Important but disclosure is older than four years.</x:v>
      </x:c>
    </x:row>
    <x:row r="7">
      <x:c r="A7" s="24" t="n">
        <x:f>COUNTIF($F$4:$F$148,"&gt;"&amp;F7)+1</x:f>
        <x:v>4</x:v>
      </x:c>
      <x:c r="B7" s="18" t="str">
        <x:v>Marriott Bonvoy</x:v>
      </x:c>
      <x:c r="C7" s="18" t="str">
        <x:v>Marriott International</x:v>
      </x:c>
      <x:c r="D7" s="18" t="str">
        <x:v>Hotels</x:v>
      </x:c>
      <x:c r="E7" s="18" t="str">
        <x:v>Global</x:v>
      </x:c>
      <x:c r="F7" s="20" t="n">
        <x:v>271</x:v>
      </x:c>
      <x:c r="G7" s="22" t="n">
        <x:v>2025</x:v>
      </x:c>
      <x:c r="H7" s="18" t="str">
        <x:v>Registered members</x:v>
      </x:c>
      <x:c r="I7" s="18" t="str">
        <x:v>Feb-2026</x:v>
      </x:c>
      <x:c r="J7" s="18" t="str">
        <x:v>Current (≤4 years)</x:v>
      </x:c>
      <x:c r="K7" s="18" t="str">
        <x:v>A</x:v>
      </x:c>
      <x:c r="L7" s="18" t="str">
        <x:v>Official company source</x:v>
      </x:c>
      <x:c r="M7" s="18" t="str">
        <x:v>Marriott International 2025 Annual Report</x:v>
      </x:c>
      <x:c r="N7" s="18" t="str">
        <x:v>Marriott International 2025 Annual Report</x:v>
      </x:c>
      <x:c r="O7" s="18" t="str">
        <x:v>https://marriott.gcs-web.com/static-files/9cf0e9b0-bbfa-48a6-9e21-ffbdbc4b2d78</x:v>
      </x:c>
      <x:c r="P7" s="18" t="str">
        <x:v>Alternative: 271m (Members, 2025, quality B)</x:v>
      </x:c>
    </x:row>
    <x:row r="8">
      <x:c r="A8" s="24" t="n">
        <x:f>COUNTIF($F$4:$F$148,"&gt;"&amp;F8)+1</x:f>
        <x:v>5</x:v>
      </x:c>
      <x:c r="B8" s="18" t="str">
        <x:v>H Rewards</x:v>
      </x:c>
      <x:c r="C8" s="18" t="str">
        <x:v>H World Group</x:v>
      </x:c>
      <x:c r="D8" s="18" t="str">
        <x:v>Hotels</x:v>
      </x:c>
      <x:c r="E8" s="18" t="str">
        <x:v>Global / China</x:v>
      </x:c>
      <x:c r="F8" s="20" t="n">
        <x:v>266</x:v>
      </x:c>
      <x:c r="G8" s="22" t="n">
        <x:v>2024</x:v>
      </x:c>
      <x:c r="H8" s="18" t="str">
        <x:v>Members</x:v>
      </x:c>
      <x:c r="I8" s="18" t="str">
        <x:v>Dec-2024</x:v>
      </x:c>
      <x:c r="J8" s="18" t="str">
        <x:v>Current (≤4 years)</x:v>
      </x:c>
      <x:c r="K8" s="18" t="str">
        <x:v>B</x:v>
      </x:c>
      <x:c r="L8" s="18" t="str">
        <x:v>2026 industry report with cited underlying source</x:v>
      </x:c>
      <x:c r="M8" s="18" t="str">
        <x:v>H World Group 2024 Annual Report, p.59</x:v>
      </x:c>
      <x:c r="N8" s="18" t="str">
        <x:v>The World's Largest Loyalty Programs (2026)</x:v>
      </x:c>
      <x:c r="O8" s="18" t="str">
        <x:v>https://retailtechinnovationhub.squarespace.com/s/Capillary-Edition-WLLP-Approved.pdf</x:v>
      </x:c>
      <x:c r="P8" s="18" t="str"/>
    </x:row>
    <x:row r="9">
      <x:c r="A9" s="24" t="n">
        <x:f>COUNTIF($F$4:$F$148,"&gt;"&amp;F9)+1</x:f>
        <x:v>6</x:v>
      </x:c>
      <x:c r="B9" s="18" t="str">
        <x:v>Hilton Honors</x:v>
      </x:c>
      <x:c r="C9" s="18" t="str">
        <x:v>Hilton Worldwide Holdings</x:v>
      </x:c>
      <x:c r="D9" s="18" t="str">
        <x:v>Hotels</x:v>
      </x:c>
      <x:c r="E9" s="18" t="str">
        <x:v>Global</x:v>
      </x:c>
      <x:c r="F9" s="20" t="n">
        <x:v>243</x:v>
      </x:c>
      <x:c r="G9" s="22" t="n">
        <x:v>2025</x:v>
      </x:c>
      <x:c r="H9" s="18" t="str">
        <x:v>Registered members</x:v>
      </x:c>
      <x:c r="I9" s="18" t="str">
        <x:v>Mar-2026</x:v>
      </x:c>
      <x:c r="J9" s="18" t="str">
        <x:v>Current (≤4 years)</x:v>
      </x:c>
      <x:c r="K9" s="18" t="str">
        <x:v>A</x:v>
      </x:c>
      <x:c r="L9" s="18" t="str">
        <x:v>Official company source</x:v>
      </x:c>
      <x:c r="M9" s="18" t="str">
        <x:v>Hilton 2025 Annual Report</x:v>
      </x:c>
      <x:c r="N9" s="18" t="str">
        <x:v>Hilton 2025 Annual Report</x:v>
      </x:c>
      <x:c r="O9" s="18" t="str">
        <x:v>https://stories-editor.hilton.com/wp-content/uploads/2026/03/Hilton-2025-Annual-Report-SEC-Form-10-K.pdf</x:v>
      </x:c>
      <x:c r="P9" s="18" t="str">
        <x:v>Alternative: 243m (Members, 2025, quality B)</x:v>
      </x:c>
    </x:row>
    <x:row r="10">
      <x:c r="A10" s="24" t="n">
        <x:f>COUNTIF($F$4:$F$148,"&gt;"&amp;F10)+1</x:f>
        <x:v>7</x:v>
      </x:c>
      <x:c r="B10" s="18" t="str">
        <x:v>MyMcDonald's Rewards / McDonald's loyalty</x:v>
      </x:c>
      <x:c r="C10" s="18" t="str">
        <x:v>McDonald's Corporation</x:v>
      </x:c>
      <x:c r="D10" s="18" t="str">
        <x:v>Restaurants &amp; QSR</x:v>
      </x:c>
      <x:c r="E10" s="18" t="str">
        <x:v>Global</x:v>
      </x:c>
      <x:c r="F10" s="20" t="n">
        <x:v>210</x:v>
      </x:c>
      <x:c r="G10" s="22" t="n">
        <x:v>2025</x:v>
      </x:c>
      <x:c r="H10" s="18" t="str">
        <x:v>90-day active loyalty users (nearly)</x:v>
      </x:c>
      <x:c r="I10" s="18" t="str">
        <x:v>Dec-2025</x:v>
      </x:c>
      <x:c r="J10" s="18" t="str">
        <x:v>Current (≤4 years)</x:v>
      </x:c>
      <x:c r="K10" s="18" t="str">
        <x:v>A</x:v>
      </x:c>
      <x:c r="L10" s="18" t="str">
        <x:v>Official company source</x:v>
      </x:c>
      <x:c r="M10" s="18" t="str">
        <x:v>McDonald's FY2025 results</x:v>
      </x:c>
      <x:c r="N10" s="18" t="str">
        <x:v>McDonald's FY2025 results</x:v>
      </x:c>
      <x:c r="O10" s="18" t="str">
        <x:v>https://corporate.mcdonalds.com/content/mcdonalds/corpmcd/our-stories/article/Q4-full-year-2025-results.html</x:v>
      </x:c>
      <x:c r="P10" s="18" t="str"/>
    </x:row>
    <x:row r="11">
      <x:c r="A11" s="24" t="n">
        <x:f>COUNTIF($F$4:$F$148,"&gt;"&amp;F11)+1</x:f>
        <x:v>7</x:v>
      </x:c>
      <x:c r="B11" s="18" t="str">
        <x:v>Pizza Hut China loyalty</x:v>
      </x:c>
      <x:c r="C11" s="18" t="str">
        <x:v>Yum China Holdings</x:v>
      </x:c>
      <x:c r="D11" s="18" t="str">
        <x:v>Restaurants &amp; QSR</x:v>
      </x:c>
      <x:c r="E11" s="18" t="str">
        <x:v>China</x:v>
      </x:c>
      <x:c r="F11" s="20" t="n">
        <x:v>210</x:v>
      </x:c>
      <x:c r="G11" s="22" t="n">
        <x:v>2025</x:v>
      </x:c>
      <x:c r="H11" s="18" t="str">
        <x:v>Loyalty members / users</x:v>
      </x:c>
      <x:c r="I11" s="18" t="str">
        <x:v>Feb-2026</x:v>
      </x:c>
      <x:c r="J11" s="18" t="str">
        <x:v>Current (≤4 years)</x:v>
      </x:c>
      <x:c r="K11" s="18" t="str">
        <x:v>B</x:v>
      </x:c>
      <x:c r="L11" s="18" t="str">
        <x:v>2026 industry report with cited underlying source</x:v>
      </x:c>
      <x:c r="M11" s="18" t="str">
        <x:v>Yum China 2025 Results, p.27</x:v>
      </x:c>
      <x:c r="N11" s="18" t="str">
        <x:v>The World's Largest Loyalty Programs (2026)</x:v>
      </x:c>
      <x:c r="O11" s="18" t="str">
        <x:v>https://retailtechinnovationhub.squarespace.com/s/Capillary-Edition-WLLP-Approved.pdf</x:v>
      </x:c>
      <x:c r="P11" s="18" t="str"/>
    </x:row>
    <x:row r="12">
      <x:c r="A12" s="24" t="n">
        <x:f>COUNTIF($F$4:$F$148,"&gt;"&amp;F12)+1</x:f>
        <x:v>9</x:v>
      </x:c>
      <x:c r="B12" s="18" t="str">
        <x:v>Amazon Prime</x:v>
      </x:c>
      <x:c r="C12" s="18" t="str">
        <x:v>Amazon.com, Inc.</x:v>
      </x:c>
      <x:c r="D12" s="18" t="str">
        <x:v>Paid membership &amp; e-commerce</x:v>
      </x:c>
      <x:c r="E12" s="18" t="str">
        <x:v>Global</x:v>
      </x:c>
      <x:c r="F12" s="20" t="n">
        <x:v>200</x:v>
      </x:c>
      <x:c r="G12" s="22" t="n">
        <x:v>2021</x:v>
      </x:c>
      <x:c r="H12" s="18" t="str">
        <x:v>Paid members (over)</x:v>
      </x:c>
      <x:c r="I12" s="18" t="str">
        <x:v>Apr-2021</x:v>
      </x:c>
      <x:c r="J12" s="18" t="str">
        <x:v>Older than 4 years</x:v>
      </x:c>
      <x:c r="K12" s="18" t="str">
        <x:v>C</x:v>
      </x:c>
      <x:c r="L12" s="18" t="str">
        <x:v>2026 industry report with cited underlying source</x:v>
      </x:c>
      <x:c r="M12" s="18" t="str">
        <x:v>Amazon disclosure reported by The Motley Fool</x:v>
      </x:c>
      <x:c r="N12" s="18" t="str">
        <x:v>The World's Largest Loyalty Programs (2026)</x:v>
      </x:c>
      <x:c r="O12" s="18" t="str">
        <x:v>https://retailtechinnovationhub.squarespace.com/s/Capillary-Edition-WLLP-Approved.pdf</x:v>
      </x:c>
      <x:c r="P12" s="18" t="str">
        <x:v>Latest widely cited official disclosure is older than four years.</x:v>
      </x:c>
    </x:row>
    <x:row r="13">
      <x:c r="A13" s="24" t="n">
        <x:f>COUNTIF($F$4:$F$148,"&gt;"&amp;F13)+1</x:f>
        <x:v>9</x:v>
      </x:c>
      <x:c r="B13" s="18" t="str">
        <x:v>H&amp;M Membership</x:v>
      </x:c>
      <x:c r="C13" s="18" t="str">
        <x:v>H &amp; M Hennes &amp; Mauritz AB</x:v>
      </x:c>
      <x:c r="D13" s="18" t="str">
        <x:v>Retail &amp; consumer brands</x:v>
      </x:c>
      <x:c r="E13" s="18" t="str">
        <x:v>Global</x:v>
      </x:c>
      <x:c r="F13" s="20" t="n">
        <x:v>200</x:v>
      </x:c>
      <x:c r="G13" s="22" t="n">
        <x:v>2024</x:v>
      </x:c>
      <x:c r="H13" s="18" t="str">
        <x:v>Members</x:v>
      </x:c>
      <x:c r="I13" s="18" t="str">
        <x:v>May-2024</x:v>
      </x:c>
      <x:c r="J13" s="18" t="str">
        <x:v>Current (≤4 years)</x:v>
      </x:c>
      <x:c r="K13" s="18" t="str">
        <x:v>B</x:v>
      </x:c>
      <x:c r="L13" s="18" t="str">
        <x:v>2026 industry report with cited underlying source</x:v>
      </x:c>
      <x:c r="M13" s="18" t="str">
        <x:v>H&amp;M financial report, p.4</x:v>
      </x:c>
      <x:c r="N13" s="18" t="str">
        <x:v>The World's Largest Loyalty Programs (2026)</x:v>
      </x:c>
      <x:c r="O13" s="18" t="str">
        <x:v>https://retailtechinnovationhub.squarespace.com/s/Capillary-Edition-WLLP-Approved.pdf</x:v>
      </x:c>
      <x:c r="P13" s="18" t="str"/>
    </x:row>
    <x:row r="14">
      <x:c r="A14" s="24" t="n">
        <x:f>COUNTIF($F$4:$F$148,"&gt;"&amp;F14)+1</x:f>
        <x:v>11</x:v>
      </x:c>
      <x:c r="B14" s="18" t="str">
        <x:v>IKEA Family</x:v>
      </x:c>
      <x:c r="C14" s="18" t="str">
        <x:v>Inter IKEA / Ingka Group</x:v>
      </x:c>
      <x:c r="D14" s="18" t="str">
        <x:v>Retail &amp; consumer brands</x:v>
      </x:c>
      <x:c r="E14" s="18" t="str">
        <x:v>Global</x:v>
      </x:c>
      <x:c r="F14" s="20" t="n">
        <x:v>180</x:v>
      </x:c>
      <x:c r="G14" s="22" t="n">
        <x:v>2023</x:v>
      </x:c>
      <x:c r="H14" s="18" t="str">
        <x:v>Members</x:v>
      </x:c>
      <x:c r="I14" s="18" t="str">
        <x:v>Dec-2023</x:v>
      </x:c>
      <x:c r="J14" s="18" t="str">
        <x:v>Current (≤4 years)</x:v>
      </x:c>
      <x:c r="K14" s="18" t="str">
        <x:v>C</x:v>
      </x:c>
      <x:c r="L14" s="18" t="str">
        <x:v>2026 industry report with cited underlying source</x:v>
      </x:c>
      <x:c r="M14" s="18" t="str">
        <x:v>Capgemini case study</x:v>
      </x:c>
      <x:c r="N14" s="18" t="str">
        <x:v>The World's Largest Loyalty Programs (2026)</x:v>
      </x:c>
      <x:c r="O14" s="18" t="str">
        <x:v>https://retailtechinnovationhub.squarespace.com/s/Capillary-Edition-WLLP-Approved.pdf</x:v>
      </x:c>
      <x:c r="P14" s="18" t="str"/>
    </x:row>
    <x:row r="15">
      <x:c r="A15" s="24" t="n">
        <x:f>COUNTIF($F$4:$F$148,"&gt;"&amp;F15)+1</x:f>
        <x:v>12</x:v>
      </x:c>
      <x:c r="B15" s="18" t="str">
        <x:v>Booking.com Genius</x:v>
      </x:c>
      <x:c r="C15" s="18" t="str">
        <x:v>Booking Holdings</x:v>
      </x:c>
      <x:c r="D15" s="18" t="str">
        <x:v>Online travel</x:v>
      </x:c>
      <x:c r="E15" s="18" t="str">
        <x:v>Global</x:v>
      </x:c>
      <x:c r="F15" s="20" t="n">
        <x:v>170</x:v>
      </x:c>
      <x:c r="G15" s="22" t="n">
        <x:v>2023</x:v>
      </x:c>
      <x:c r="H15" s="18" t="str">
        <x:v>Members / enrolled customers</x:v>
      </x:c>
      <x:c r="I15" s="18" t="str">
        <x:v>Nov-2023</x:v>
      </x:c>
      <x:c r="J15" s="18" t="str">
        <x:v>Current (≤4 years)</x:v>
      </x:c>
      <x:c r="K15" s="18" t="str">
        <x:v>C</x:v>
      </x:c>
      <x:c r="L15" s="18" t="str">
        <x:v>2026 industry report with cited underlying source</x:v>
      </x:c>
      <x:c r="M15" s="18" t="str">
        <x:v>Hospitality Net</x:v>
      </x:c>
      <x:c r="N15" s="18" t="str">
        <x:v>The World's Largest Loyalty Programs (2026)</x:v>
      </x:c>
      <x:c r="O15" s="18" t="str">
        <x:v>https://retailtechinnovationhub.squarespace.com/s/Capillary-Edition-WLLP-Approved.pdf</x:v>
      </x:c>
      <x:c r="P15" s="18" t="str"/>
    </x:row>
    <x:row r="16">
      <x:c r="A16" s="24" t="n">
        <x:f>COUNTIF($F$4:$F$148,"&gt;"&amp;F16)+1</x:f>
        <x:v>12</x:v>
      </x:c>
      <x:c r="B16" s="18" t="str">
        <x:v>Expedia One Key</x:v>
      </x:c>
      <x:c r="C16" s="18" t="str">
        <x:v>Expedia Group</x:v>
      </x:c>
      <x:c r="D16" s="18" t="str">
        <x:v>Online travel</x:v>
      </x:c>
      <x:c r="E16" s="18" t="str">
        <x:v>Global</x:v>
      </x:c>
      <x:c r="F16" s="20" t="n">
        <x:v>170</x:v>
      </x:c>
      <x:c r="G16" s="22" t="n">
        <x:v>2023</x:v>
      </x:c>
      <x:c r="H16" s="18" t="str">
        <x:v>Members / enrolled customers</x:v>
      </x:c>
      <x:c r="I16" s="18" t="str">
        <x:v>Jul-2023</x:v>
      </x:c>
      <x:c r="J16" s="18" t="str">
        <x:v>Current (≤4 years)</x:v>
      </x:c>
      <x:c r="K16" s="18" t="str">
        <x:v>C</x:v>
      </x:c>
      <x:c r="L16" s="18" t="str">
        <x:v>2026 industry report with cited underlying source</x:v>
      </x:c>
      <x:c r="M16" s="18" t="str">
        <x:v>Hospitality Net</x:v>
      </x:c>
      <x:c r="N16" s="18" t="str">
        <x:v>The World's Largest Loyalty Programs (2026)</x:v>
      </x:c>
      <x:c r="O16" s="18" t="str">
        <x:v>https://retailtechinnovationhub.squarespace.com/s/Capillary-Edition-WLLP-Approved.pdf</x:v>
      </x:c>
      <x:c r="P16" s="18" t="str"/>
    </x:row>
    <x:row r="17">
      <x:c r="A17" s="24" t="n">
        <x:f>COUNTIF($F$4:$F$148,"&gt;"&amp;F17)+1</x:f>
        <x:v>14</x:v>
      </x:c>
      <x:c r="B17" s="18" t="str">
        <x:v>IHG One Rewards</x:v>
      </x:c>
      <x:c r="C17" s="18" t="str">
        <x:v>InterContinental Hotels Group</x:v>
      </x:c>
      <x:c r="D17" s="18" t="str">
        <x:v>Hotels</x:v>
      </x:c>
      <x:c r="E17" s="18" t="str">
        <x:v>Global</x:v>
      </x:c>
      <x:c r="F17" s="20" t="n">
        <x:v>160</x:v>
      </x:c>
      <x:c r="G17" s="22" t="n">
        <x:v>2025</x:v>
      </x:c>
      <x:c r="H17" s="18" t="str">
        <x:v>Members (over)</x:v>
      </x:c>
      <x:c r="I17" s="18" t="str">
        <x:v>Feb-2026</x:v>
      </x:c>
      <x:c r="J17" s="18" t="str">
        <x:v>Current (≤4 years)</x:v>
      </x:c>
      <x:c r="K17" s="18" t="str">
        <x:v>A</x:v>
      </x:c>
      <x:c r="L17" s="18" t="str">
        <x:v>Official company source</x:v>
      </x:c>
      <x:c r="M17" s="18" t="str">
        <x:v>IHG Annual Report and Form 20-F 2025</x:v>
      </x:c>
      <x:c r="N17" s="18" t="str">
        <x:v>IHG Annual Report and Form 20-F 2025</x:v>
      </x:c>
      <x:c r="O17" s="18" t="str">
        <x:v>https://www.ihgplc.com/~/media/Files/I/Ihg-Plc/investors/annual-report/2025/ihg-ar25-interactive.pdf</x:v>
      </x:c>
      <x:c r="P17" s="18" t="str"/>
    </x:row>
    <x:row r="18">
      <x:c r="A18" s="24" t="n">
        <x:f>COUNTIF($F$4:$F$148,"&gt;"&amp;F18)+1</x:f>
        <x:v>15</x:v>
      </x:c>
      <x:c r="B18" s="18" t="str">
        <x:v>NeuPass</x:v>
      </x:c>
      <x:c r="C18" s="18" t="str">
        <x:v>Tata Digital / Tata Group</x:v>
      </x:c>
      <x:c r="D18" s="18" t="str">
        <x:v>Coalition &amp; super-app</x:v>
      </x:c>
      <x:c r="E18" s="18" t="str">
        <x:v>India</x:v>
      </x:c>
      <x:c r="F18" s="20" t="n">
        <x:v>140</x:v>
      </x:c>
      <x:c r="G18" s="22" t="n">
        <x:v>2025</x:v>
      </x:c>
      <x:c r="H18" s="18" t="str">
        <x:v>Members</x:v>
      </x:c>
      <x:c r="I18" s="18" t="str">
        <x:v>May-2025</x:v>
      </x:c>
      <x:c r="J18" s="18" t="str">
        <x:v>Current (≤4 years)</x:v>
      </x:c>
      <x:c r="K18" s="18" t="str">
        <x:v>B</x:v>
      </x:c>
      <x:c r="L18" s="18" t="str">
        <x:v>2026 industry report with cited underlying source</x:v>
      </x:c>
      <x:c r="M18" s="18" t="str">
        <x:v>Tata 2024–25 Annual Report, p.12</x:v>
      </x:c>
      <x:c r="N18" s="18" t="str">
        <x:v>The World's Largest Loyalty Programs (2026)</x:v>
      </x:c>
      <x:c r="O18" s="18" t="str">
        <x:v>https://retailtechinnovationhub.squarespace.com/s/Capillary-Edition-WLLP-Approved.pdf</x:v>
      </x:c>
      <x:c r="P18" s="18" t="str"/>
    </x:row>
    <x:row r="19">
      <x:c r="A19" s="24" t="n">
        <x:f>COUNTIF($F$4:$F$148,"&gt;"&amp;F19)+1</x:f>
        <x:v>16</x:v>
      </x:c>
      <x:c r="B19" s="18" t="str">
        <x:v>Costco Membership</x:v>
      </x:c>
      <x:c r="C19" s="18" t="str">
        <x:v>Costco Wholesale Corporation</x:v>
      </x:c>
      <x:c r="D19" s="18" t="str">
        <x:v>Paid membership &amp; e-commerce</x:v>
      </x:c>
      <x:c r="E19" s="18" t="str">
        <x:v>Global</x:v>
      </x:c>
      <x:c r="F19" s="20" t="n">
        <x:v>137</x:v>
      </x:c>
      <x:c r="G19" s="22" t="n">
        <x:v>2024</x:v>
      </x:c>
      <x:c r="H19" s="18" t="str">
        <x:v>Cardholders / members</x:v>
      </x:c>
      <x:c r="I19" s="18" t="str">
        <x:v>Jan-2025</x:v>
      </x:c>
      <x:c r="J19" s="18" t="str">
        <x:v>Current (≤4 years)</x:v>
      </x:c>
      <x:c r="K19" s="18" t="str">
        <x:v>B</x:v>
      </x:c>
      <x:c r="L19" s="18" t="str">
        <x:v>2026 industry report with cited underlying source</x:v>
      </x:c>
      <x:c r="M19" s="18" t="str">
        <x:v>Costco 2024 Annual Report, p.3</x:v>
      </x:c>
      <x:c r="N19" s="18" t="str">
        <x:v>The World's Largest Loyalty Programs (2026)</x:v>
      </x:c>
      <x:c r="O19" s="18" t="str">
        <x:v>https://retailtechinnovationhub.squarespace.com/s/Capillary-Edition-WLLP-Approved.pdf</x:v>
      </x:c>
      <x:c r="P19" s="18" t="str"/>
    </x:row>
    <x:row r="20">
      <x:c r="A20" s="24" t="n">
        <x:f>COUNTIF($F$4:$F$148,"&gt;"&amp;F20)+1</x:f>
        <x:v>17</x:v>
      </x:c>
      <x:c r="B20" s="18" t="str">
        <x:v>Shop for Free</x:v>
      </x:c>
      <x:c r="C20" s="18" t="str">
        <x:v>Vishal Mega Mart</x:v>
      </x:c>
      <x:c r="D20" s="18" t="str">
        <x:v>Retail &amp; grocery</x:v>
      </x:c>
      <x:c r="E20" s="18" t="str">
        <x:v>India</x:v>
      </x:c>
      <x:c r="F20" s="20" t="n">
        <x:v>134</x:v>
      </x:c>
      <x:c r="G20" s="22" t="n">
        <x:v>2025</x:v>
      </x:c>
      <x:c r="H20" s="18" t="str">
        <x:v>Loyalty members</x:v>
      </x:c>
      <x:c r="I20" s="18" t="str">
        <x:v>Jan-2025</x:v>
      </x:c>
      <x:c r="J20" s="18" t="str">
        <x:v>Current (≤4 years)</x:v>
      </x:c>
      <x:c r="K20" s="18" t="str">
        <x:v>C</x:v>
      </x:c>
      <x:c r="L20" s="18" t="str">
        <x:v>2026 industry report with cited underlying source</x:v>
      </x:c>
      <x:c r="M20" s="18" t="str">
        <x:v>J.P. Morgan report cited by NDTV Profit</x:v>
      </x:c>
      <x:c r="N20" s="18" t="str">
        <x:v>The World's Largest Loyalty Programs (2026)</x:v>
      </x:c>
      <x:c r="O20" s="18" t="str">
        <x:v>https://retailtechinnovationhub.squarespace.com/s/Capillary-Edition-WLLP-Approved.pdf</x:v>
      </x:c>
      <x:c r="P20" s="18" t="str"/>
    </x:row>
    <x:row r="21">
      <x:c r="A21" s="24" t="n">
        <x:f>COUNTIF($F$4:$F$148,"&gt;"&amp;F21)+1</x:f>
        <x:v>18</x:v>
      </x:c>
      <x:c r="B21" s="18" t="str">
        <x:v>BTG Homeinns Club</x:v>
      </x:c>
      <x:c r="C21" s="18" t="str">
        <x:v>BTG Hotels Group / Homeinns</x:v>
      </x:c>
      <x:c r="D21" s="18" t="str">
        <x:v>Hotels</x:v>
      </x:c>
      <x:c r="E21" s="18" t="str">
        <x:v>China</x:v>
      </x:c>
      <x:c r="F21" s="20" t="n">
        <x:v>130</x:v>
      </x:c>
      <x:c r="G21" s="22" t="n">
        <x:v>2021</x:v>
      </x:c>
      <x:c r="H21" s="18" t="str">
        <x:v>Members</x:v>
      </x:c>
      <x:c r="I21" s="18" t="str">
        <x:v>Sep-2021</x:v>
      </x:c>
      <x:c r="J21" s="18" t="str">
        <x:v>Older than 4 years</x:v>
      </x:c>
      <x:c r="K21" s="18" t="str">
        <x:v>C</x:v>
      </x:c>
      <x:c r="L21" s="18" t="str">
        <x:v>2026 industry report with cited underlying source</x:v>
      </x:c>
      <x:c r="M21" s="18" t="str">
        <x:v>Yicai</x:v>
      </x:c>
      <x:c r="N21" s="18" t="str">
        <x:v>The World's Largest Loyalty Programs (2026)</x:v>
      </x:c>
      <x:c r="O21" s="18" t="str">
        <x:v>https://retailtechinnovationhub.squarespace.com/s/Capillary-Edition-WLLP-Approved.pdf</x:v>
      </x:c>
      <x:c r="P21" s="18" t="str">
        <x:v>Disclosure is older than four years.</x:v>
      </x:c>
    </x:row>
    <x:row r="22">
      <x:c r="A22" s="24" t="n">
        <x:f>COUNTIF($F$4:$F$148,"&gt;"&amp;F22)+1</x:f>
        <x:v>18</x:v>
      </x:c>
      <x:c r="B22" s="18" t="str">
        <x:v>MileagePlus</x:v>
      </x:c>
      <x:c r="C22" s="18" t="str">
        <x:v>United Airlines</x:v>
      </x:c>
      <x:c r="D22" s="18" t="str">
        <x:v>Airlines</x:v>
      </x:c>
      <x:c r="E22" s="18" t="str">
        <x:v>Global</x:v>
      </x:c>
      <x:c r="F22" s="20" t="n">
        <x:v>130</x:v>
      </x:c>
      <x:c r="G22" s="22" t="n">
        <x:v>2026</x:v>
      </x:c>
      <x:c r="H22" s="18" t="str">
        <x:v>Members (over)</x:v>
      </x:c>
      <x:c r="I22" s="18" t="str">
        <x:v>2026</x:v>
      </x:c>
      <x:c r="J22" s="18" t="str">
        <x:v>Current (≤4 years)</x:v>
      </x:c>
      <x:c r="K22" s="18" t="str">
        <x:v>A</x:v>
      </x:c>
      <x:c r="L22" s="18" t="str">
        <x:v>Investor relations profile</x:v>
      </x:c>
      <x:c r="M22" s="18" t="str">
        <x:v>United Airlines Investor Relations</x:v>
      </x:c>
      <x:c r="N22" s="18" t="str">
        <x:v>United Airlines Investor Relations</x:v>
      </x:c>
      <x:c r="O22" s="18" t="str">
        <x:v>https://ir.united.com/</x:v>
      </x:c>
      <x:c r="P22" s="18" t="str">
        <x:v>Alternative: 110m (Members, 2023, quality C); Alternative: 110m (Members, 2023, quality C)</x:v>
      </x:c>
    </x:row>
    <x:row r="23">
      <x:c r="A23" s="24" t="n">
        <x:f>COUNTIF($F$4:$F$148,"&gt;"&amp;F23)+1</x:f>
        <x:v>18</x:v>
      </x:c>
      <x:c r="B23" s="18" t="str">
        <x:v>SkyMiles</x:v>
      </x:c>
      <x:c r="C23" s="18" t="str">
        <x:v>Delta Air Lines</x:v>
      </x:c>
      <x:c r="D23" s="18" t="str">
        <x:v>Airlines</x:v>
      </x:c>
      <x:c r="E23" s="18" t="str">
        <x:v>Global</x:v>
      </x:c>
      <x:c r="F23" s="20" t="n">
        <x:v>130</x:v>
      </x:c>
      <x:c r="G23" s="22" t="n">
        <x:v>2023</x:v>
      </x:c>
      <x:c r="H23" s="18" t="str">
        <x:v>Members</x:v>
      </x:c>
      <x:c r="I23" s="18" t="str">
        <x:v>2023</x:v>
      </x:c>
      <x:c r="J23" s="18" t="str">
        <x:v>Current (≤4 years)</x:v>
      </x:c>
      <x:c r="K23" s="18" t="str">
        <x:v>B</x:v>
      </x:c>
      <x:c r="L23" s="18" t="str">
        <x:v>2024 airline industry report with cited underlying source</x:v>
      </x:c>
      <x:c r="M23" s="18" t="str">
        <x:v>Delta company presentation, 2023</x:v>
      </x:c>
      <x:c r="N23" s="18" t="str">
        <x:v>2024 Big Book of Airline Data</x:v>
      </x:c>
      <x:c r="O23" s="18" t="str">
        <x:v>https://ideaworkscompany.com/wp-content/uploads/2024/12/2024-Big-Book-of-Airline-Data-by-IdeaWorks-1.2.pdf</x:v>
      </x:c>
      <x:c r="P23" s="18" t="str"/>
    </x:row>
    <x:row r="24">
      <x:c r="A24" s="24" t="n">
        <x:f>COUNTIF($F$4:$F$148,"&gt;"&amp;F24)+1</x:f>
        <x:v>18</x:v>
      </x:c>
      <x:c r="B24" s="18" t="str">
        <x:v>Zillion</x:v>
      </x:c>
      <x:c r="C24" s="18" t="str">
        <x:v>BharatPe / Zillion</x:v>
      </x:c>
      <x:c r="D24" s="18" t="str">
        <x:v>Coalition &amp; points</x:v>
      </x:c>
      <x:c r="E24" s="18" t="str">
        <x:v>India</x:v>
      </x:c>
      <x:c r="F24" s="20" t="n">
        <x:v>130</x:v>
      </x:c>
      <x:c r="G24" s="22" t="n">
        <x:v>2023</x:v>
      </x:c>
      <x:c r="H24" s="18" t="str">
        <x:v>Members</x:v>
      </x:c>
      <x:c r="I24" s="18" t="str">
        <x:v>May-2023</x:v>
      </x:c>
      <x:c r="J24" s="18" t="str">
        <x:v>Current (≤4 years)</x:v>
      </x:c>
      <x:c r="K24" s="18" t="str">
        <x:v>C</x:v>
      </x:c>
      <x:c r="L24" s="18" t="str">
        <x:v>2026 industry report with cited underlying source</x:v>
      </x:c>
      <x:c r="M24" s="18" t="str">
        <x:v>Business Standard</x:v>
      </x:c>
      <x:c r="N24" s="18" t="str">
        <x:v>The World's Largest Loyalty Programs (2026)</x:v>
      </x:c>
      <x:c r="O24" s="18" t="str">
        <x:v>https://retailtechinnovationhub.squarespace.com/s/Capillary-Edition-WLLP-Approved.pdf</x:v>
      </x:c>
      <x:c r="P24" s="18" t="str"/>
    </x:row>
    <x:row r="25">
      <x:c r="A25" s="24" t="n">
        <x:f>COUNTIF($F$4:$F$148,"&gt;"&amp;F25)+1</x:f>
        <x:v>22</x:v>
      </x:c>
      <x:c r="B25" s="18" t="str">
        <x:v>Wyndham Rewards</x:v>
      </x:c>
      <x:c r="C25" s="18" t="str">
        <x:v>Wyndham Hotels &amp; Resorts</x:v>
      </x:c>
      <x:c r="D25" s="18" t="str">
        <x:v>Hotels</x:v>
      </x:c>
      <x:c r="E25" s="18" t="str">
        <x:v>Global</x:v>
      </x:c>
      <x:c r="F25" s="20" t="n">
        <x:v>122</x:v>
      </x:c>
      <x:c r="G25" s="22" t="n">
        <x:v>2025</x:v>
      </x:c>
      <x:c r="H25" s="18" t="str">
        <x:v>Enrolled members (over)</x:v>
      </x:c>
      <x:c r="I25" s="18" t="str">
        <x:v>Feb-2026</x:v>
      </x:c>
      <x:c r="J25" s="18" t="str">
        <x:v>Current (≤4 years)</x:v>
      </x:c>
      <x:c r="K25" s="18" t="str">
        <x:v>A</x:v>
      </x:c>
      <x:c r="L25" s="18" t="str">
        <x:v>Official company source</x:v>
      </x:c>
      <x:c r="M25" s="18" t="str">
        <x:v>Wyndham 2025 Annual Report</x:v>
      </x:c>
      <x:c r="N25" s="18" t="str">
        <x:v>Wyndham 2025 Annual Report</x:v>
      </x:c>
      <x:c r="O25" s="18" t="str">
        <x:v>https://investor.wyndhamhotels.com/financial-information/all-sec-filings/content/0001722684-26-000052/a2025annualreport.pdf</x:v>
      </x:c>
      <x:c r="P25" s="18" t="str">
        <x:v>Alternative: 120m (Members, 2025, quality B)</x:v>
      </x:c>
    </x:row>
    <x:row r="26">
      <x:c r="A26" s="24" t="n">
        <x:f>COUNTIF($F$4:$F$148,"&gt;"&amp;F26)+1</x:f>
        <x:v>23</x:v>
      </x:c>
      <x:c r="B26" s="18" t="str">
        <x:v>Ponta</x:v>
      </x:c>
      <x:c r="C26" s="18" t="str">
        <x:v>Loyalty Marketing, Inc. / Mitsubishi Corporation</x:v>
      </x:c>
      <x:c r="D26" s="18" t="str">
        <x:v>Coalition &amp; points</x:v>
      </x:c>
      <x:c r="E26" s="18" t="str">
        <x:v>Japan</x:v>
      </x:c>
      <x:c r="F26" s="20" t="n">
        <x:v>117.4</x:v>
      </x:c>
      <x:c r="G26" s="22" t="n">
        <x:v>2024</x:v>
      </x:c>
      <x:c r="H26" s="18" t="str">
        <x:v>Members</x:v>
      </x:c>
      <x:c r="I26" s="18" t="str">
        <x:v>Apr-2024</x:v>
      </x:c>
      <x:c r="J26" s="18" t="str">
        <x:v>Current (≤4 years)</x:v>
      </x:c>
      <x:c r="K26" s="18" t="str">
        <x:v>A</x:v>
      </x:c>
      <x:c r="L26" s="18" t="str">
        <x:v>Official company source</x:v>
      </x:c>
      <x:c r="M26" s="18" t="str">
        <x:v>Mitsubishi Corporation — Loyalty Marketing project profile</x:v>
      </x:c>
      <x:c r="N26" s="18" t="str">
        <x:v>Mitsubishi Corporation — Loyalty Marketing project profile</x:v>
      </x:c>
      <x:c r="O26" s="18" t="str">
        <x:v>https://www.mitsubishicorp.com/jp/en/about/project/loyalty-marketing/</x:v>
      </x:c>
      <x:c r="P26" s="18" t="str"/>
    </x:row>
    <x:row r="27">
      <x:c r="A27" s="24" t="n">
        <x:f>COUNTIF($F$4:$F$148,"&gt;"&amp;F27)+1</x:f>
        <x:v>24</x:v>
      </x:c>
      <x:c r="B27" s="18" t="str">
        <x:v>AAdvantage</x:v>
      </x:c>
      <x:c r="C27" s="18" t="str">
        <x:v>American Airlines Group</x:v>
      </x:c>
      <x:c r="D27" s="18" t="str">
        <x:v>Airlines</x:v>
      </x:c>
      <x:c r="E27" s="18" t="str">
        <x:v>Global</x:v>
      </x:c>
      <x:c r="F27" s="20" t="n">
        <x:v>115</x:v>
      </x:c>
      <x:c r="G27" s="22" t="n">
        <x:v>2020</x:v>
      </x:c>
      <x:c r="H27" s="18" t="str">
        <x:v>Members</x:v>
      </x:c>
      <x:c r="I27" s="18" t="str">
        <x:v>Apr-2021</x:v>
      </x:c>
      <x:c r="J27" s="18" t="str">
        <x:v>Older than 4 years</x:v>
      </x:c>
      <x:c r="K27" s="18" t="str">
        <x:v>B</x:v>
      </x:c>
      <x:c r="L27" s="18" t="str">
        <x:v>2026 industry report with cited underlying source</x:v>
      </x:c>
      <x:c r="M27" s="18" t="str">
        <x:v>American Airlines press release</x:v>
      </x:c>
      <x:c r="N27" s="18" t="str">
        <x:v>The World's Largest Loyalty Programs (2026)</x:v>
      </x:c>
      <x:c r="O27" s="18" t="str">
        <x:v>https://retailtechinnovationhub.squarespace.com/s/Capillary-Edition-WLLP-Approved.pdf</x:v>
      </x:c>
      <x:c r="P27" s="18" t="str">
        <x:v>Official disclosure is older than four years. | Alternative: 120m (Members (estimate), 2020, quality C)</x:v>
      </x:c>
    </x:row>
    <x:row r="28">
      <x:c r="A28" s="24" t="n">
        <x:f>COUNTIF($F$4:$F$148,"&gt;"&amp;F28)+1</x:f>
        <x:v>25</x:v>
      </x:c>
      <x:c r="B28" s="18" t="str">
        <x:v>ALL - Accor Live Limitless</x:v>
      </x:c>
      <x:c r="C28" s="18" t="str">
        <x:v>Accor</x:v>
      </x:c>
      <x:c r="D28" s="18" t="str">
        <x:v>Hotels</x:v>
      </x:c>
      <x:c r="E28" s="18" t="str">
        <x:v>Global</x:v>
      </x:c>
      <x:c r="F28" s="20" t="n">
        <x:v>110</x:v>
      </x:c>
      <x:c r="G28" s="22" t="n">
        <x:v>2025</x:v>
      </x:c>
      <x:c r="H28" s="18" t="str">
        <x:v>Members (over)</x:v>
      </x:c>
      <x:c r="I28" s="18" t="str">
        <x:v>Mar-2026</x:v>
      </x:c>
      <x:c r="J28" s="18" t="str">
        <x:v>Current (≤4 years)</x:v>
      </x:c>
      <x:c r="K28" s="18" t="str">
        <x:v>A</x:v>
      </x:c>
      <x:c r="L28" s="18" t="str">
        <x:v>Official company source</x:v>
      </x:c>
      <x:c r="M28" s="18" t="str">
        <x:v>Accor Integrated Report 2025</x:v>
      </x:c>
      <x:c r="N28" s="18" t="str">
        <x:v>Accor Integrated Report 2025</x:v>
      </x:c>
      <x:c r="O28" s="18" t="str">
        <x:v>https://assets.group.accor.com/yrj0orc8tx24/yMg4ParJIzpy1DzMN0kOQ/90a1cf55393deb7ff5f70b8d44c8ecda/Accor_Integrated_Report_2025.pdf</x:v>
      </x:c>
      <x:c r="P28" s="18" t="str">
        <x:v>Alternative: 100m (Members, 2025, quality B)</x:v>
      </x:c>
    </x:row>
    <x:row r="29">
      <x:c r="A29" s="24" t="n">
        <x:f>COUNTIF($F$4:$F$148,"&gt;"&amp;F29)+1</x:f>
        <x:v>25</x:v>
      </x:c>
      <x:c r="B29" s="18" t="str">
        <x:v>myWalgreens</x:v>
      </x:c>
      <x:c r="C29" s="18" t="str">
        <x:v>Walgreens Boots Alliance</x:v>
      </x:c>
      <x:c r="D29" s="18" t="str">
        <x:v>Retail &amp; pharmacy</x:v>
      </x:c>
      <x:c r="E29" s="18" t="str">
        <x:v>United States</x:v>
      </x:c>
      <x:c r="F29" s="20" t="n">
        <x:v>110</x:v>
      </x:c>
      <x:c r="G29" s="22" t="n">
        <x:v>2023</x:v>
      </x:c>
      <x:c r="H29" s="18" t="str">
        <x:v>Members</x:v>
      </x:c>
      <x:c r="I29" s="18" t="str">
        <x:v>Jul-2023</x:v>
      </x:c>
      <x:c r="J29" s="18" t="str">
        <x:v>Current (≤4 years)</x:v>
      </x:c>
      <x:c r="K29" s="18" t="str">
        <x:v>B</x:v>
      </x:c>
      <x:c r="L29" s="18" t="str">
        <x:v>2026 industry report with cited underlying source</x:v>
      </x:c>
      <x:c r="M29" s="18" t="str">
        <x:v>Walgreens press release</x:v>
      </x:c>
      <x:c r="N29" s="18" t="str">
        <x:v>The World's Largest Loyalty Programs (2026)</x:v>
      </x:c>
      <x:c r="O29" s="18" t="str">
        <x:v>https://retailtechinnovationhub.squarespace.com/s/Capillary-Edition-WLLP-Approved.pdf</x:v>
      </x:c>
      <x:c r="P29" s="18" t="str"/>
    </x:row>
    <x:row r="30">
      <x:c r="A30" s="24" t="n">
        <x:f>COUNTIF($F$4:$F$148,"&gt;"&amp;F30)+1</x:f>
        <x:v>27</x:v>
      </x:c>
      <x:c r="B30" s="18" t="str">
        <x:v>d POINT CLUB</x:v>
      </x:c>
      <x:c r="C30" s="18" t="str">
        <x:v>NTT DOCOMO</x:v>
      </x:c>
      <x:c r="D30" s="18" t="str">
        <x:v>Coalition &amp; points</x:v>
      </x:c>
      <x:c r="E30" s="18" t="str">
        <x:v>Japan</x:v>
      </x:c>
      <x:c r="F30" s="20" t="n">
        <x:v>106.03</x:v>
      </x:c>
      <x:c r="G30" s="22" t="n">
        <x:v>2025</x:v>
      </x:c>
      <x:c r="H30" s="18" t="str">
        <x:v>Members (approx.)</x:v>
      </x:c>
      <x:c r="I30" s="18" t="str">
        <x:v>Jun-2025</x:v>
      </x:c>
      <x:c r="J30" s="18" t="str">
        <x:v>Current (≤4 years)</x:v>
      </x:c>
      <x:c r="K30" s="18" t="str">
        <x:v>A</x:v>
      </x:c>
      <x:c r="L30" s="18" t="str">
        <x:v>Official company source</x:v>
      </x:c>
      <x:c r="M30" s="18" t="str">
        <x:v>NTT DOCOMO Group Sustainability Report 2025</x:v>
      </x:c>
      <x:c r="N30" s="18" t="str">
        <x:v>NTT DOCOMO Group Sustainability Report 2025</x:v>
      </x:c>
      <x:c r="O30" s="18" t="str">
        <x:v>https://www.docomo.ne.jp/english/binary/pdf/corporate/csr/about/pdf/e_csr2025w_all.pdf?ver=1766649614</x:v>
      </x:c>
      <x:c r="P30" s="18" t="str"/>
    </x:row>
    <x:row r="31">
      <x:c r="A31" s="24" t="n">
        <x:f>COUNTIF($F$4:$F$148,"&gt;"&amp;F31)+1</x:f>
        <x:v>28</x:v>
      </x:c>
      <x:c r="B31" s="18" t="str">
        <x:v>7Rewards &amp; Speedy Rewards</x:v>
      </x:c>
      <x:c r="C31" s="18" t="str">
        <x:v>7-Eleven / Seven &amp; i Holdings</x:v>
      </x:c>
      <x:c r="D31" s="18" t="str">
        <x:v>Fuel &amp; convenience</x:v>
      </x:c>
      <x:c r="E31" s="18" t="str">
        <x:v>North America</x:v>
      </x:c>
      <x:c r="F31" s="20" t="n">
        <x:v>104</x:v>
      </x:c>
      <x:c r="G31" s="22" t="n">
        <x:v>2024</x:v>
      </x:c>
      <x:c r="H31" s="18" t="str">
        <x:v>Members</x:v>
      </x:c>
      <x:c r="I31" s="18" t="str">
        <x:v>Apr-2025</x:v>
      </x:c>
      <x:c r="J31" s="18" t="str">
        <x:v>Current (≤4 years)</x:v>
      </x:c>
      <x:c r="K31" s="18" t="str">
        <x:v>B</x:v>
      </x:c>
      <x:c r="L31" s="18" t="str">
        <x:v>2026 industry report with cited underlying source</x:v>
      </x:c>
      <x:c r="M31" s="18" t="str">
        <x:v>7-Eleven FY2024 Annual Report, p.25</x:v>
      </x:c>
      <x:c r="N31" s="18" t="str">
        <x:v>The World's Largest Loyalty Programs (2026)</x:v>
      </x:c>
      <x:c r="O31" s="18" t="str">
        <x:v>https://retailtechinnovationhub.squarespace.com/s/Capillary-Edition-WLLP-Approved.pdf</x:v>
      </x:c>
      <x:c r="P31" s="18" t="str"/>
    </x:row>
    <x:row r="32">
      <x:c r="A32" s="24" t="n">
        <x:f>COUNTIF($F$4:$F$148,"&gt;"&amp;F32)+1</x:f>
        <x:v>29</x:v>
      </x:c>
      <x:c r="B32" s="18" t="str">
        <x:v>Lidl Plus</x:v>
      </x:c>
      <x:c r="C32" s="18" t="str">
        <x:v>Lidl Stiftung / Schwarz Group</x:v>
      </x:c>
      <x:c r="D32" s="18" t="str">
        <x:v>Retail &amp; grocery</x:v>
      </x:c>
      <x:c r="E32" s="18" t="str">
        <x:v>Global</x:v>
      </x:c>
      <x:c r="F32" s="20" t="n">
        <x:v>100</x:v>
      </x:c>
      <x:c r="G32" s="22" t="n">
        <x:v>2025</x:v>
      </x:c>
      <x:c r="H32" s="18" t="str">
        <x:v>App users (over)</x:v>
      </x:c>
      <x:c r="I32" s="18" t="str">
        <x:v>Apr-2025</x:v>
      </x:c>
      <x:c r="J32" s="18" t="str">
        <x:v>Current (≤4 years)</x:v>
      </x:c>
      <x:c r="K32" s="18" t="str">
        <x:v>A</x:v>
      </x:c>
      <x:c r="L32" s="18" t="str">
        <x:v>Official company source</x:v>
      </x:c>
      <x:c r="M32" s="18" t="str">
        <x:v>Lidl to trial Click, Reserve &amp; Collect via Lidl Plus</x:v>
      </x:c>
      <x:c r="N32" s="18" t="str">
        <x:v>Lidl to trial Click, Reserve &amp; Collect via Lidl Plus</x:v>
      </x:c>
      <x:c r="O32" s="18" t="str">
        <x:v>https://corporate.lidl.co.uk/media-centre/pressreleases/2025/lidl-to-trial-click-reserve-collect-via-lidl-plus</x:v>
      </x:c>
      <x:c r="P32" s="18" t="str"/>
    </x:row>
    <x:row r="33">
      <x:c r="A33" s="24" t="n">
        <x:f>COUNTIF($F$4:$F$148,"&gt;"&amp;F33)+1</x:f>
        <x:v>29</x:v>
      </x:c>
      <x:c r="B33" s="18" t="str">
        <x:v>My Best Buy Membership</x:v>
      </x:c>
      <x:c r="C33" s="18" t="str">
        <x:v>Best Buy Co.</x:v>
      </x:c>
      <x:c r="D33" s="18" t="str">
        <x:v>Retail &amp; consumer brands</x:v>
      </x:c>
      <x:c r="E33" s="18" t="str">
        <x:v>United States</x:v>
      </x:c>
      <x:c r="F33" s="20" t="n">
        <x:v>100</x:v>
      </x:c>
      <x:c r="G33" s="22" t="n">
        <x:v>2023</x:v>
      </x:c>
      <x:c r="H33" s="18" t="str">
        <x:v>Members</x:v>
      </x:c>
      <x:c r="I33" s="18" t="str">
        <x:v>May-2023</x:v>
      </x:c>
      <x:c r="J33" s="18" t="str">
        <x:v>Current (≤4 years)</x:v>
      </x:c>
      <x:c r="K33" s="18" t="str">
        <x:v>C</x:v>
      </x:c>
      <x:c r="L33" s="18" t="str">
        <x:v>2026 industry report with cited underlying source</x:v>
      </x:c>
      <x:c r="M33" s="18" t="str">
        <x:v>CNBC</x:v>
      </x:c>
      <x:c r="N33" s="18" t="str">
        <x:v>The World's Largest Loyalty Programs (2026)</x:v>
      </x:c>
      <x:c r="O33" s="18" t="str">
        <x:v>https://retailtechinnovationhub.squarespace.com/s/Capillary-Edition-WLLP-Approved.pdf</x:v>
      </x:c>
      <x:c r="P33" s="18" t="str"/>
    </x:row>
    <x:row r="34">
      <x:c r="A34" s="24" t="n">
        <x:f>COUNTIF($F$4:$F$148,"&gt;"&amp;F34)+1</x:f>
        <x:v>29</x:v>
      </x:c>
      <x:c r="B34" s="18" t="str">
        <x:v>Rakuten Rewards / Rakuten membership</x:v>
      </x:c>
      <x:c r="C34" s="18" t="str">
        <x:v>Rakuten Group</x:v>
      </x:c>
      <x:c r="D34" s="18" t="str">
        <x:v>Coalition &amp; points</x:v>
      </x:c>
      <x:c r="E34" s="18" t="str">
        <x:v>Global / Japan</x:v>
      </x:c>
      <x:c r="F34" s="20" t="n">
        <x:v>100</x:v>
      </x:c>
      <x:c r="G34" s="22" t="n">
        <x:v>2025</x:v>
      </x:c>
      <x:c r="H34" s="18" t="str">
        <x:v>Members / IDs</x:v>
      </x:c>
      <x:c r="I34" s="18" t="str">
        <x:v>Oct-2025</x:v>
      </x:c>
      <x:c r="J34" s="18" t="str">
        <x:v>Current (≤4 years)</x:v>
      </x:c>
      <x:c r="K34" s="18" t="str">
        <x:v>B</x:v>
      </x:c>
      <x:c r="L34" s="18" t="str">
        <x:v>2026 industry report with cited underlying source</x:v>
      </x:c>
      <x:c r="M34" s="18" t="str">
        <x:v>Rakuten website</x:v>
      </x:c>
      <x:c r="N34" s="18" t="str">
        <x:v>The World's Largest Loyalty Programs (2026)</x:v>
      </x:c>
      <x:c r="O34" s="18" t="str">
        <x:v>https://retailtechinnovationhub.squarespace.com/s/Capillary-Edition-WLLP-Approved.pdf</x:v>
      </x:c>
      <x:c r="P34" s="18" t="str"/>
    </x:row>
    <x:row r="35">
      <x:c r="A35" s="24" t="n">
        <x:f>COUNTIF($F$4:$F$148,"&gt;"&amp;F35)+1</x:f>
        <x:v>29</x:v>
      </x:c>
      <x:c r="B35" s="18" t="str">
        <x:v>Rapid Rewards</x:v>
      </x:c>
      <x:c r="C35" s="18" t="str">
        <x:v>Southwest Airlines</x:v>
      </x:c>
      <x:c r="D35" s="18" t="str">
        <x:v>Airlines</x:v>
      </x:c>
      <x:c r="E35" s="18" t="str">
        <x:v>Global</x:v>
      </x:c>
      <x:c r="F35" s="20" t="n">
        <x:v>100</x:v>
      </x:c>
      <x:c r="G35" s="22" t="n">
        <x:v>2026</x:v>
      </x:c>
      <x:c r="H35" s="18" t="str">
        <x:v>Members (nearly)</x:v>
      </x:c>
      <x:c r="I35" s="18" t="str">
        <x:v>2026</x:v>
      </x:c>
      <x:c r="J35" s="18" t="str">
        <x:v>Current (≤4 years)</x:v>
      </x:c>
      <x:c r="K35" s="18" t="str">
        <x:v>C</x:v>
      </x:c>
      <x:c r="L35" s="18" t="str">
        <x:v>Earnings call / company disclosure</x:v>
      </x:c>
      <x:c r="M35" s="18" t="str">
        <x:v>Southwest Q2 2026 earnings disclosure</x:v>
      </x:c>
      <x:c r="N35" s="18" t="str">
        <x:v>Southwest Q2 2026 earnings disclosure</x:v>
      </x:c>
      <x:c r="O35" s="18" t="str">
        <x:v>https://www.southwestairlinesinvestorrelations.com/</x:v>
      </x:c>
      <x:c r="P35" s="18" t="str">
        <x:v>Count reported from Q2 2026 earnings call by trade media; source page is investor relations hub.</x:v>
      </x:c>
    </x:row>
    <x:row r="36">
      <x:c r="A36" s="24" t="n">
        <x:f>COUNTIF($F$4:$F$148,"&gt;"&amp;F36)+1</x:f>
        <x:v>29</x:v>
      </x:c>
      <x:c r="B36" s="18" t="str">
        <x:v>Target Circle</x:v>
      </x:c>
      <x:c r="C36" s="18" t="str">
        <x:v>Target Corporation</x:v>
      </x:c>
      <x:c r="D36" s="18" t="str">
        <x:v>Retail &amp; grocery</x:v>
      </x:c>
      <x:c r="E36" s="18" t="str">
        <x:v>United States</x:v>
      </x:c>
      <x:c r="F36" s="20" t="n">
        <x:v>100</x:v>
      </x:c>
      <x:c r="G36" s="22" t="n">
        <x:v>2024</x:v>
      </x:c>
      <x:c r="H36" s="18" t="str">
        <x:v>Members (over)</x:v>
      </x:c>
      <x:c r="I36" s="18" t="str">
        <x:v>Mar-2024</x:v>
      </x:c>
      <x:c r="J36" s="18" t="str">
        <x:v>Current (≤4 years)</x:v>
      </x:c>
      <x:c r="K36" s="18" t="str">
        <x:v>A</x:v>
      </x:c>
      <x:c r="L36" s="18" t="str">
        <x:v>Official company source</x:v>
      </x:c>
      <x:c r="M36" s="18" t="str">
        <x:v>Target announces enhanced shopping experience</x:v>
      </x:c>
      <x:c r="N36" s="18" t="str">
        <x:v>Target announces enhanced shopping experience</x:v>
      </x:c>
      <x:c r="O36" s="18" t="str">
        <x:v>https://corporate.target.com/press/release/2024/03/target-announces-plans-to-deliver-enhanced-shopping-experience-in-2024-and-beyond</x:v>
      </x:c>
      <x:c r="P36" s="18" t="str"/>
    </x:row>
    <x:row r="37">
      <x:c r="A37" s="24" t="n">
        <x:f>COUNTIF($F$4:$F$148,"&gt;"&amp;F37)+1</x:f>
        <x:v>34</x:v>
      </x:c>
      <x:c r="B37" s="18" t="str">
        <x:v>Sky Pearl Club</x:v>
      </x:c>
      <x:c r="C37" s="18" t="str">
        <x:v>China Southern Airlines</x:v>
      </x:c>
      <x:c r="D37" s="18" t="str">
        <x:v>Airlines</x:v>
      </x:c>
      <x:c r="E37" s="18" t="str">
        <x:v>China / Global</x:v>
      </x:c>
      <x:c r="F37" s="20" t="n">
        <x:v>99.06</x:v>
      </x:c>
      <x:c r="G37" s="22" t="n">
        <x:v>2023</x:v>
      </x:c>
      <x:c r="H37" s="18" t="str">
        <x:v>Members</x:v>
      </x:c>
      <x:c r="I37" s="18" t="str">
        <x:v>2023</x:v>
      </x:c>
      <x:c r="J37" s="18" t="str">
        <x:v>Current (≤4 years)</x:v>
      </x:c>
      <x:c r="K37" s="18" t="str">
        <x:v>B</x:v>
      </x:c>
      <x:c r="L37" s="18" t="str">
        <x:v>2024 airline industry report with cited underlying source</x:v>
      </x:c>
      <x:c r="M37" s="18" t="str">
        <x:v>China Southern company disclosure, 2023</x:v>
      </x:c>
      <x:c r="N37" s="18" t="str">
        <x:v>2024 Big Book of Airline Data</x:v>
      </x:c>
      <x:c r="O37" s="18" t="str">
        <x:v>https://ideaworkscompany.com/wp-content/uploads/2024/12/2024-Big-Book-of-Airline-Data-by-IdeaWorks-1.2.pdf</x:v>
      </x:c>
      <x:c r="P37" s="18" t="str"/>
    </x:row>
    <x:row r="38">
      <x:c r="A38" s="24" t="n">
        <x:f>COUNTIF($F$4:$F$148,"&gt;"&amp;F38)+1</x:f>
        <x:v>35</x:v>
      </x:c>
      <x:c r="B38" s="18" t="str">
        <x:v>Globe Rewards</x:v>
      </x:c>
      <x:c r="C38" s="18" t="str">
        <x:v>Globe Telecom</x:v>
      </x:c>
      <x:c r="D38" s="18" t="str">
        <x:v>Telecom</x:v>
      </x:c>
      <x:c r="E38" s="18" t="str">
        <x:v>Philippines</x:v>
      </x:c>
      <x:c r="F38" s="20" t="n">
        <x:v>90</x:v>
      </x:c>
      <x:c r="G38" s="22" t="n">
        <x:v>2022</x:v>
      </x:c>
      <x:c r="H38" s="18" t="str">
        <x:v>Members</x:v>
      </x:c>
      <x:c r="I38" s="18" t="str">
        <x:v>Jul-2022</x:v>
      </x:c>
      <x:c r="J38" s="18" t="str">
        <x:v>Older than 4 years</x:v>
      </x:c>
      <x:c r="K38" s="18" t="str">
        <x:v>C</x:v>
      </x:c>
      <x:c r="L38" s="18" t="str">
        <x:v>2026 industry report with cited underlying source</x:v>
      </x:c>
      <x:c r="M38" s="18" t="str">
        <x:v>Business Wire</x:v>
      </x:c>
      <x:c r="N38" s="18" t="str">
        <x:v>The World's Largest Loyalty Programs (2026)</x:v>
      </x:c>
      <x:c r="O38" s="18" t="str">
        <x:v>https://retailtechinnovationhub.squarespace.com/s/Capillary-Edition-WLLP-Approved.pdf</x:v>
      </x:c>
      <x:c r="P38" s="18" t="str">
        <x:v>Publication falls just outside the four-year cutoff.</x:v>
      </x:c>
    </x:row>
    <x:row r="39">
      <x:c r="A39" s="24" t="n">
        <x:f>COUNTIF($F$4:$F$148,"&gt;"&amp;F39)+1</x:f>
        <x:v>36</x:v>
      </x:c>
      <x:c r="B39" s="18" t="str">
        <x:v>A-Card</x:v>
      </x:c>
      <x:c r="C39" s="18" t="str">
        <x:v>Atour Lifestyle Holdings</x:v>
      </x:c>
      <x:c r="D39" s="18" t="str">
        <x:v>Hotels</x:v>
      </x:c>
      <x:c r="E39" s="18" t="str">
        <x:v>China</x:v>
      </x:c>
      <x:c r="F39" s="20" t="n">
        <x:v>89</x:v>
      </x:c>
      <x:c r="G39" s="22" t="n">
        <x:v>2024</x:v>
      </x:c>
      <x:c r="H39" s="18" t="str">
        <x:v>Members</x:v>
      </x:c>
      <x:c r="I39" s="18" t="str">
        <x:v>Dec-2024</x:v>
      </x:c>
      <x:c r="J39" s="18" t="str">
        <x:v>Current (≤4 years)</x:v>
      </x:c>
      <x:c r="K39" s="18" t="str">
        <x:v>B</x:v>
      </x:c>
      <x:c r="L39" s="18" t="str">
        <x:v>2026 industry report with cited underlying source</x:v>
      </x:c>
      <x:c r="M39" s="18" t="str">
        <x:v>Atour 2024 Annual Report, p.55</x:v>
      </x:c>
      <x:c r="N39" s="18" t="str">
        <x:v>The World's Largest Loyalty Programs (2026)</x:v>
      </x:c>
      <x:c r="O39" s="18" t="str">
        <x:v>https://retailtechinnovationhub.squarespace.com/s/Capillary-Edition-WLLP-Approved.pdf</x:v>
      </x:c>
      <x:c r="P39" s="18" t="str"/>
    </x:row>
    <x:row r="40">
      <x:c r="A40" s="24" t="n">
        <x:f>COUNTIF($F$4:$F$148,"&gt;"&amp;F40)+1</x:f>
        <x:v>37</x:v>
      </x:c>
      <x:c r="B40" s="18" t="str">
        <x:v>PhoenixMiles</x:v>
      </x:c>
      <x:c r="C40" s="18" t="str">
        <x:v>Air China</x:v>
      </x:c>
      <x:c r="D40" s="18" t="str">
        <x:v>Airlines</x:v>
      </x:c>
      <x:c r="E40" s="18" t="str">
        <x:v>China / Global</x:v>
      </x:c>
      <x:c r="F40" s="20" t="n">
        <x:v>82.296</x:v>
      </x:c>
      <x:c r="G40" s="22" t="n">
        <x:v>2023</x:v>
      </x:c>
      <x:c r="H40" s="18" t="str">
        <x:v>Members</x:v>
      </x:c>
      <x:c r="I40" s="18" t="str">
        <x:v>2024</x:v>
      </x:c>
      <x:c r="J40" s="18" t="str">
        <x:v>Current (≤4 years)</x:v>
      </x:c>
      <x:c r="K40" s="18" t="str">
        <x:v>B</x:v>
      </x:c>
      <x:c r="L40" s="18" t="str">
        <x:v>2024 airline industry report with cited underlying source</x:v>
      </x:c>
      <x:c r="M40" s="18" t="str">
        <x:v>Air China Annual Report 2023</x:v>
      </x:c>
      <x:c r="N40" s="18" t="str">
        <x:v>2024 Big Book of Airline Data</x:v>
      </x:c>
      <x:c r="O40" s="18" t="str">
        <x:v>https://ideaworkscompany.com/wp-content/uploads/2024/12/2024-Big-Book-of-Airline-Data-by-IdeaWorks-1.2.pdf</x:v>
      </x:c>
      <x:c r="P40" s="18" t="str"/>
    </x:row>
    <x:row r="41">
      <x:c r="A41" s="24" t="n">
        <x:f>COUNTIF($F$4:$F$148,"&gt;"&amp;F41)+1</x:f>
        <x:v>38</x:v>
      </x:c>
      <x:c r="B41" s="18" t="str">
        <x:v>CVS ExtraCare</x:v>
      </x:c>
      <x:c r="C41" s="18" t="str">
        <x:v>CVS Health</x:v>
      </x:c>
      <x:c r="D41" s="18" t="str">
        <x:v>Retail &amp; pharmacy</x:v>
      </x:c>
      <x:c r="E41" s="18" t="str">
        <x:v>United States</x:v>
      </x:c>
      <x:c r="F41" s="20" t="n">
        <x:v>74</x:v>
      </x:c>
      <x:c r="G41" s="22" t="n">
        <x:v>2024</x:v>
      </x:c>
      <x:c r="H41" s="18" t="str">
        <x:v>Members / households</x:v>
      </x:c>
      <x:c r="I41" s="18" t="str">
        <x:v>Jan-2024</x:v>
      </x:c>
      <x:c r="J41" s="18" t="str">
        <x:v>Current (≤4 years)</x:v>
      </x:c>
      <x:c r="K41" s="18" t="str">
        <x:v>C</x:v>
      </x:c>
      <x:c r="L41" s="18" t="str">
        <x:v>2026 industry report with cited underlying source</x:v>
      </x:c>
      <x:c r="M41" s="18" t="str">
        <x:v>PYMNTS</x:v>
      </x:c>
      <x:c r="N41" s="18" t="str">
        <x:v>The World's Largest Loyalty Programs (2026)</x:v>
      </x:c>
      <x:c r="O41" s="18" t="str">
        <x:v>https://retailtechinnovationhub.squarespace.com/s/Capillary-Edition-WLLP-Approved.pdf</x:v>
      </x:c>
      <x:c r="P41" s="18" t="str"/>
    </x:row>
    <x:row r="42">
      <x:c r="A42" s="24" t="n">
        <x:f>COUNTIF($F$4:$F$148,"&gt;"&amp;F42)+1</x:f>
        <x:v>38</x:v>
      </x:c>
      <x:c r="B42" s="18" t="str">
        <x:v>Choice Privileges</x:v>
      </x:c>
      <x:c r="C42" s="18" t="str">
        <x:v>Choice Hotels International</x:v>
      </x:c>
      <x:c r="D42" s="18" t="str">
        <x:v>Hotels</x:v>
      </x:c>
      <x:c r="E42" s="18" t="str">
        <x:v>Global</x:v>
      </x:c>
      <x:c r="F42" s="20" t="n">
        <x:v>74</x:v>
      </x:c>
      <x:c r="G42" s="22" t="n">
        <x:v>2025</x:v>
      </x:c>
      <x:c r="H42" s="18" t="str">
        <x:v>Members (over)</x:v>
      </x:c>
      <x:c r="I42" s="18" t="str">
        <x:v>2025</x:v>
      </x:c>
      <x:c r="J42" s="18" t="str">
        <x:v>Current (≤4 years)</x:v>
      </x:c>
      <x:c r="K42" s="18" t="str">
        <x:v>A</x:v>
      </x:c>
      <x:c r="L42" s="18" t="str">
        <x:v>Annual report / SEC filing</x:v>
      </x:c>
      <x:c r="M42" s="18" t="str">
        <x:v>Choice Hotels 2025 Form 10-K</x:v>
      </x:c>
      <x:c r="N42" s="18" t="str">
        <x:v>Choice Hotels 2025 Form 10-K</x:v>
      </x:c>
      <x:c r="O42" s="18" t="str">
        <x:v>https://www.sec.gov/Archives/edgar/data/1046311/000104631126000012/chh-20251231.htm</x:v>
      </x:c>
      <x:c r="P42" s="18" t="str">
        <x:v>Source URL may redirect; count surfaced in 2025 10-K search result. | Alternative: 74m (Members, 2025, quality B)</x:v>
      </x:c>
    </x:row>
    <x:row r="43">
      <x:c r="A43" s="24" t="n">
        <x:f>COUNTIF($F$4:$F$148,"&gt;"&amp;F43)+1</x:f>
        <x:v>38</x:v>
      </x:c>
      <x:c r="B43" s="18" t="str">
        <x:v>GreenTree loyalty program</x:v>
      </x:c>
      <x:c r="C43" s="18" t="str">
        <x:v>GreenTree Hospitality Group</x:v>
      </x:c>
      <x:c r="D43" s="18" t="str">
        <x:v>Hotels</x:v>
      </x:c>
      <x:c r="E43" s="18" t="str">
        <x:v>China</x:v>
      </x:c>
      <x:c r="F43" s="20" t="n">
        <x:v>74</x:v>
      </x:c>
      <x:c r="G43" s="22" t="n">
        <x:v>2022</x:v>
      </x:c>
      <x:c r="H43" s="18" t="str">
        <x:v>Members</x:v>
      </x:c>
      <x:c r="I43" s="18" t="str">
        <x:v>Oct-2022</x:v>
      </x:c>
      <x:c r="J43" s="18" t="str">
        <x:v>Older than 4 years</x:v>
      </x:c>
      <x:c r="K43" s="18" t="str">
        <x:v>B</x:v>
      </x:c>
      <x:c r="L43" s="18" t="str">
        <x:v>2026 industry report with cited underlying source</x:v>
      </x:c>
      <x:c r="M43" s="18" t="str">
        <x:v>SEC filings</x:v>
      </x:c>
      <x:c r="N43" s="18" t="str">
        <x:v>The World's Largest Loyalty Programs (2026)</x:v>
      </x:c>
      <x:c r="O43" s="18" t="str">
        <x:v>https://retailtechinnovationhub.squarespace.com/s/Capillary-Edition-WLLP-Approved.pdf</x:v>
      </x:c>
      <x:c r="P43" s="18" t="str"/>
    </x:row>
    <x:row r="44">
      <x:c r="A44" s="24" t="n">
        <x:f>COUNTIF($F$4:$F$148,"&gt;"&amp;F44)+1</x:f>
        <x:v>41</x:v>
      </x:c>
      <x:c r="B44" s="18" t="str">
        <x:v>Treats Rewards</x:v>
      </x:c>
      <x:c r="C44" s="18" t="str">
        <x:v>PetSmart</x:v>
      </x:c>
      <x:c r="D44" s="18" t="str">
        <x:v>Retail &amp; pet care</x:v>
      </x:c>
      <x:c r="E44" s="18" t="str">
        <x:v>North America</x:v>
      </x:c>
      <x:c r="F44" s="20" t="n">
        <x:v>70</x:v>
      </x:c>
      <x:c r="G44" s="22" t="n">
        <x:v>2025</x:v>
      </x:c>
      <x:c r="H44" s="18" t="str">
        <x:v>Members</x:v>
      </x:c>
      <x:c r="I44" s="18" t="str">
        <x:v>Jun-2025</x:v>
      </x:c>
      <x:c r="J44" s="18" t="str">
        <x:v>Current (≤4 years)</x:v>
      </x:c>
      <x:c r="K44" s="18" t="str">
        <x:v>C</x:v>
      </x:c>
      <x:c r="L44" s="18" t="str">
        <x:v>2026 industry report with cited underlying source</x:v>
      </x:c>
      <x:c r="M44" s="18" t="str">
        <x:v>Hightouch case study</x:v>
      </x:c>
      <x:c r="N44" s="18" t="str">
        <x:v>The World's Largest Loyalty Programs (2026)</x:v>
      </x:c>
      <x:c r="O44" s="18" t="str">
        <x:v>https://retailtechinnovationhub.squarespace.com/s/Capillary-Edition-WLLP-Approved.pdf</x:v>
      </x:c>
      <x:c r="P44" s="18" t="str"/>
    </x:row>
    <x:row r="45">
      <x:c r="A45" s="24" t="n">
        <x:f>COUNTIF($F$4:$F$148,"&gt;"&amp;F45)+1</x:f>
        <x:v>42</x:v>
      </x:c>
      <x:c r="B45" s="18" t="str">
        <x:v>IAG Loyalty portfolio</x:v>
      </x:c>
      <x:c r="C45" s="18" t="str">
        <x:v>International Airlines Group</x:v>
      </x:c>
      <x:c r="D45" s="18" t="str">
        <x:v>Airlines</x:v>
      </x:c>
      <x:c r="E45" s="18" t="str">
        <x:v>Global</x:v>
      </x:c>
      <x:c r="F45" s="20" t="n">
        <x:v>69</x:v>
      </x:c>
      <x:c r="G45" s="22" t="n">
        <x:v>2025</x:v>
      </x:c>
      <x:c r="H45" s="18" t="str">
        <x:v>Combined members across BA Club, AerClub, Iberia Club, Vueling Club, Qatar Privilege Club, Finnair Plus and Loganair</x:v>
      </x:c>
      <x:c r="I45" s="18" t="str">
        <x:v>Oct-2025</x:v>
      </x:c>
      <x:c r="J45" s="18" t="str">
        <x:v>Current (≤4 years)</x:v>
      </x:c>
      <x:c r="K45" s="18" t="str">
        <x:v>B</x:v>
      </x:c>
      <x:c r="L45" s="18" t="str">
        <x:v>2026 industry report with cited underlying source</x:v>
      </x:c>
      <x:c r="M45" s="18" t="str">
        <x:v>IAG Loyalty website</x:v>
      </x:c>
      <x:c r="N45" s="18" t="str">
        <x:v>The World's Largest Loyalty Programs (2026)</x:v>
      </x:c>
      <x:c r="O45" s="18" t="str">
        <x:v>https://retailtechinnovationhub.squarespace.com/s/Capillary-Edition-WLLP-Approved.pdf</x:v>
      </x:c>
      <x:c r="P45" s="18" t="str"/>
    </x:row>
    <x:row r="46">
      <x:c r="A46" s="24" t="n">
        <x:f>COUNTIF($F$4:$F$148,"&gt;"&amp;F46)+1</x:f>
        <x:v>43</x:v>
      </x:c>
      <x:c r="B46" s="18" t="str">
        <x:v>Best Western Rewards</x:v>
      </x:c>
      <x:c r="C46" s="18" t="str">
        <x:v>BWH Hotels</x:v>
      </x:c>
      <x:c r="D46" s="18" t="str">
        <x:v>Hotels</x:v>
      </x:c>
      <x:c r="E46" s="18" t="str">
        <x:v>Global</x:v>
      </x:c>
      <x:c r="F46" s="20" t="n">
        <x:v>63.4</x:v>
      </x:c>
      <x:c r="G46" s="22" t="n">
        <x:v>2025</x:v>
      </x:c>
      <x:c r="H46" s="18" t="str">
        <x:v>Members</x:v>
      </x:c>
      <x:c r="I46" s="18" t="str">
        <x:v>Sep-2025</x:v>
      </x:c>
      <x:c r="J46" s="18" t="str">
        <x:v>Current (≤4 years)</x:v>
      </x:c>
      <x:c r="K46" s="18" t="str">
        <x:v>A</x:v>
      </x:c>
      <x:c r="L46" s="18" t="str">
        <x:v>Official company source</x:v>
      </x:c>
      <x:c r="M46" s="18" t="str">
        <x:v>BWH Hotels GB celebrates record-breaking year</x:v>
      </x:c>
      <x:c r="N46" s="18" t="str">
        <x:v>BWH Hotels GB celebrates record-breaking year</x:v>
      </x:c>
      <x:c r="O46" s="18" t="str">
        <x:v>https://www.joinbwhhotels.co.uk/bwh-blog/bwh-hotels-gb-celebrates-record-breaking-year-amid-industry-challenges/</x:v>
      </x:c>
      <x:c r="P46" s="18" t="str">
        <x:v>Alternative: 64m (Members, 2025, quality B)</x:v>
      </x:c>
    </x:row>
    <x:row r="47">
      <x:c r="A47" s="24" t="n">
        <x:f>COUNTIF($F$4:$F$148,"&gt;"&amp;F47)+1</x:f>
        <x:v>44</x:v>
      </x:c>
      <x:c r="B47" s="18" t="str">
        <x:v>Kroger Plus</x:v>
      </x:c>
      <x:c r="C47" s="18" t="str">
        <x:v>The Kroger Co.</x:v>
      </x:c>
      <x:c r="D47" s="18" t="str">
        <x:v>Retail &amp; grocery</x:v>
      </x:c>
      <x:c r="E47" s="18" t="str">
        <x:v>United States</x:v>
      </x:c>
      <x:c r="F47" s="20" t="n">
        <x:v>63</x:v>
      </x:c>
      <x:c r="G47" s="22" t="n">
        <x:v>2024</x:v>
      </x:c>
      <x:c r="H47" s="18" t="str">
        <x:v>Households / loyalty members</x:v>
      </x:c>
      <x:c r="I47" s="18" t="str">
        <x:v>Mar-2025</x:v>
      </x:c>
      <x:c r="J47" s="18" t="str">
        <x:v>Current (≤4 years)</x:v>
      </x:c>
      <x:c r="K47" s="18" t="str">
        <x:v>B</x:v>
      </x:c>
      <x:c r="L47" s="18" t="str">
        <x:v>2026 industry report with cited underlying source</x:v>
      </x:c>
      <x:c r="M47" s="18" t="str">
        <x:v>Kroger 2024 Annual Report, p.99</x:v>
      </x:c>
      <x:c r="N47" s="18" t="str">
        <x:v>The World's Largest Loyalty Programs (2026)</x:v>
      </x:c>
      <x:c r="O47" s="18" t="str">
        <x:v>https://retailtechinnovationhub.squarespace.com/s/Capillary-Edition-WLLP-Approved.pdf</x:v>
      </x:c>
      <x:c r="P47" s="18" t="str"/>
    </x:row>
    <x:row r="48">
      <x:c r="A48" s="24" t="n">
        <x:f>COUNTIF($F$4:$F$148,"&gt;"&amp;F48)+1</x:f>
        <x:v>44</x:v>
      </x:c>
      <x:c r="B48" s="18" t="str">
        <x:v>World of Hyatt</x:v>
      </x:c>
      <x:c r="C48" s="18" t="str">
        <x:v>Hyatt Hotels Corporation</x:v>
      </x:c>
      <x:c r="D48" s="18" t="str">
        <x:v>Hotels</x:v>
      </x:c>
      <x:c r="E48" s="18" t="str">
        <x:v>Global</x:v>
      </x:c>
      <x:c r="F48" s="20" t="n">
        <x:v>63</x:v>
      </x:c>
      <x:c r="G48" s="22" t="n">
        <x:v>2025</x:v>
      </x:c>
      <x:c r="H48" s="18" t="str">
        <x:v>Registered members (approx.)</x:v>
      </x:c>
      <x:c r="I48" s="18" t="str">
        <x:v>2026</x:v>
      </x:c>
      <x:c r="J48" s="18" t="str">
        <x:v>Current (≤4 years)</x:v>
      </x:c>
      <x:c r="K48" s="18" t="str">
        <x:v>A</x:v>
      </x:c>
      <x:c r="L48" s="18" t="str">
        <x:v>Annual report / SEC filing</x:v>
      </x:c>
      <x:c r="M48" s="18" t="str">
        <x:v>Marriott Vacations 2025 Annual Report references World of Hyatt</x:v>
      </x:c>
      <x:c r="N48" s="18" t="str">
        <x:v>Marriott Vacations 2025 Annual Report references World of Hyatt</x:v>
      </x:c>
      <x:c r="O48" s="18" t="str">
        <x:v>https://www.sec.gov/Archives/edgar/data/1524358/000152435826000010/vac-20251231.htm</x:v>
      </x:c>
      <x:c r="P48" s="18" t="str">
        <x:v>Third-party SEC filing by Hyatt partner; official filing, not Hyatt's own report. | Alternative: 63m (Members, 2025, quality B)</x:v>
      </x:c>
    </x:row>
    <x:row r="49">
      <x:c r="A49" s="24" t="n">
        <x:f>COUNTIF($F$4:$F$148,"&gt;"&amp;F49)+1</x:f>
        <x:v>46</x:v>
      </x:c>
      <x:c r="B49" s="18" t="str">
        <x:v>Samsung Rewards</x:v>
      </x:c>
      <x:c r="C49" s="18" t="str">
        <x:v>Samsung Electronics</x:v>
      </x:c>
      <x:c r="D49" s="18" t="str">
        <x:v>Retail &amp; technology</x:v>
      </x:c>
      <x:c r="E49" s="18" t="str">
        <x:v>Global</x:v>
      </x:c>
      <x:c r="F49" s="20" t="n">
        <x:v>60</x:v>
      </x:c>
      <x:c r="G49" s="22" t="n">
        <x:v>2023</x:v>
      </x:c>
      <x:c r="H49" s="18" t="str">
        <x:v>Members</x:v>
      </x:c>
      <x:c r="I49" s="18" t="str">
        <x:v>May-2023</x:v>
      </x:c>
      <x:c r="J49" s="18" t="str">
        <x:v>Current (≤4 years)</x:v>
      </x:c>
      <x:c r="K49" s="18" t="str">
        <x:v>C</x:v>
      </x:c>
      <x:c r="L49" s="18" t="str">
        <x:v>2026 industry report with cited underlying source</x:v>
      </x:c>
      <x:c r="M49" s="18" t="str">
        <x:v>Let's Talk Loyalty interview</x:v>
      </x:c>
      <x:c r="N49" s="18" t="str">
        <x:v>The World's Largest Loyalty Programs (2026)</x:v>
      </x:c>
      <x:c r="O49" s="18" t="str">
        <x:v>https://retailtechinnovationhub.squarespace.com/s/Capillary-Edition-WLLP-Approved.pdf</x:v>
      </x:c>
      <x:c r="P49" s="18" t="str"/>
    </x:row>
    <x:row r="50">
      <x:c r="A50" s="24" t="n">
        <x:f>COUNTIF($F$4:$F$148,"&gt;"&amp;F50)+1</x:f>
        <x:v>47</x:v>
      </x:c>
      <x:c r="B50" s="18" t="str">
        <x:v>AAA Discounts &amp; Rewards</x:v>
      </x:c>
      <x:c r="C50" s="18" t="str">
        <x:v>American Automobile Association</x:v>
      </x:c>
      <x:c r="D50" s="18" t="str">
        <x:v>Membership &amp; services</x:v>
      </x:c>
      <x:c r="E50" s="18" t="str">
        <x:v>United States / Canada</x:v>
      </x:c>
      <x:c r="F50" s="20" t="n">
        <x:v>59</x:v>
      </x:c>
      <x:c r="G50" s="22" t="n">
        <x:v>2025</x:v>
      </x:c>
      <x:c r="H50" s="18" t="str">
        <x:v>Members</x:v>
      </x:c>
      <x:c r="I50" s="18" t="str">
        <x:v>Aug-2025</x:v>
      </x:c>
      <x:c r="J50" s="18" t="str">
        <x:v>Current (≤4 years)</x:v>
      </x:c>
      <x:c r="K50" s="18" t="str">
        <x:v>B</x:v>
      </x:c>
      <x:c r="L50" s="18" t="str">
        <x:v>2026 industry report with cited underlying source</x:v>
      </x:c>
      <x:c r="M50" s="18" t="str">
        <x:v>AAA website</x:v>
      </x:c>
      <x:c r="N50" s="18" t="str">
        <x:v>The World's Largest Loyalty Programs (2026)</x:v>
      </x:c>
      <x:c r="O50" s="18" t="str">
        <x:v>https://retailtechinnovationhub.squarespace.com/s/Capillary-Edition-WLLP-Approved.pdf</x:v>
      </x:c>
      <x:c r="P50" s="18" t="str"/>
    </x:row>
    <x:row r="51">
      <x:c r="A51" s="24" t="n">
        <x:f>COUNTIF($F$4:$F$148,"&gt;"&amp;F51)+1</x:f>
        <x:v>47</x:v>
      </x:c>
      <x:c r="B51" s="18" t="str">
        <x:v>Walmart+</x:v>
      </x:c>
      <x:c r="C51" s="18" t="str">
        <x:v>Walmart Inc.</x:v>
      </x:c>
      <x:c r="D51" s="18" t="str">
        <x:v>Paid membership &amp; e-commerce</x:v>
      </x:c>
      <x:c r="E51" s="18" t="str">
        <x:v>United States</x:v>
      </x:c>
      <x:c r="F51" s="20" t="n">
        <x:v>59</x:v>
      </x:c>
      <x:c r="G51" s="22" t="n">
        <x:v>2023</x:v>
      </x:c>
      <x:c r="H51" s="18" t="str">
        <x:v>Members / estimate</x:v>
      </x:c>
      <x:c r="I51" s="18" t="str">
        <x:v>Feb-2023</x:v>
      </x:c>
      <x:c r="J51" s="18" t="str">
        <x:v>Current (≤4 years)</x:v>
      </x:c>
      <x:c r="K51" s="18" t="str">
        <x:v>C</x:v>
      </x:c>
      <x:c r="L51" s="18" t="str">
        <x:v>2026 industry report with cited underlying source</x:v>
      </x:c>
      <x:c r="M51" s="18" t="str">
        <x:v>PYMNTS</x:v>
      </x:c>
      <x:c r="N51" s="18" t="str">
        <x:v>The World's Largest Loyalty Programs (2026)</x:v>
      </x:c>
      <x:c r="O51" s="18" t="str">
        <x:v>https://retailtechinnovationhub.squarespace.com/s/Capillary-Edition-WLLP-Approved.pdf</x:v>
      </x:c>
      <x:c r="P51" s="18" t="str">
        <x:v>Estimate rather than direct audited membership disclosure.</x:v>
      </x:c>
    </x:row>
    <x:row r="52">
      <x:c r="A52" s="24" t="n">
        <x:f>COUNTIF($F$4:$F$148,"&gt;"&amp;F52)+1</x:f>
        <x:v>49</x:v>
      </x:c>
      <x:c r="B52" s="18" t="str">
        <x:v>Eastern Miles</x:v>
      </x:c>
      <x:c r="C52" s="18" t="str">
        <x:v>China Eastern Airlines</x:v>
      </x:c>
      <x:c r="D52" s="18" t="str">
        <x:v>Airlines</x:v>
      </x:c>
      <x:c r="E52" s="18" t="str">
        <x:v>China / Global</x:v>
      </x:c>
      <x:c r="F52" s="20" t="n">
        <x:v>57</x:v>
      </x:c>
      <x:c r="G52" s="22" t="n">
        <x:v>2023</x:v>
      </x:c>
      <x:c r="H52" s="18" t="str">
        <x:v>Members</x:v>
      </x:c>
      <x:c r="I52" s="18" t="str">
        <x:v>2024</x:v>
      </x:c>
      <x:c r="J52" s="18" t="str">
        <x:v>Current (≤4 years)</x:v>
      </x:c>
      <x:c r="K52" s="18" t="str">
        <x:v>B</x:v>
      </x:c>
      <x:c r="L52" s="18" t="str">
        <x:v>2024 airline industry report with cited underlying source</x:v>
      </x:c>
      <x:c r="M52" s="18" t="str">
        <x:v>China Eastern Annual Report 2023</x:v>
      </x:c>
      <x:c r="N52" s="18" t="str">
        <x:v>2024 Big Book of Airline Data</x:v>
      </x:c>
      <x:c r="O52" s="18" t="str">
        <x:v>https://ideaworkscompany.com/wp-content/uploads/2024/12/2024-Big-Book-of-Airline-Data-by-IdeaWorks-1.2.pdf</x:v>
      </x:c>
      <x:c r="P52" s="18" t="str">
        <x:v>Alternative: 50m (Members, 2022, quality C)</x:v>
      </x:c>
    </x:row>
    <x:row r="53">
      <x:c r="A53" s="24" t="n">
        <x:f>COUNTIF($F$4:$F$148,"&gt;"&amp;F53)+1</x:f>
        <x:v>50</x:v>
      </x:c>
      <x:c r="B53" s="18" t="str">
        <x:v>Starbucks Rewards</x:v>
      </x:c>
      <x:c r="C53" s="18" t="str">
        <x:v>Starbucks Corporation</x:v>
      </x:c>
      <x:c r="D53" s="18" t="str">
        <x:v>Restaurants &amp; QSR</x:v>
      </x:c>
      <x:c r="E53" s="18" t="str">
        <x:v>United States / China</x:v>
      </x:c>
      <x:c r="F53" s="20" t="n">
        <x:v>55</x:v>
      </x:c>
      <x:c r="G53" s="22" t="n">
        <x:v>2025</x:v>
      </x:c>
      <x:c r="H53" s="18" t="str">
        <x:v>Active members / combined markets</x:v>
      </x:c>
      <x:c r="I53" s="18" t="str">
        <x:v>Jul-2025</x:v>
      </x:c>
      <x:c r="J53" s="18" t="str">
        <x:v>Current (≤4 years)</x:v>
      </x:c>
      <x:c r="K53" s="18" t="str">
        <x:v>C</x:v>
      </x:c>
      <x:c r="L53" s="18" t="str">
        <x:v>2026 industry report with cited underlying source</x:v>
      </x:c>
      <x:c r="M53" s="18" t="str">
        <x:v>Marketing Dive and QSR Magazine</x:v>
      </x:c>
      <x:c r="N53" s="18" t="str">
        <x:v>The World's Largest Loyalty Programs (2026)</x:v>
      </x:c>
      <x:c r="O53" s="18" t="str">
        <x:v>https://retailtechinnovationhub.squarespace.com/s/Capillary-Edition-WLLP-Approved.pdf</x:v>
      </x:c>
      <x:c r="P53" s="18" t="str">
        <x:v>Combined figure is not directly comparable with US-only 90-day active membership. | Alternative: 35.5m (90-day active members, 2026, quality A); Alternative: 35.5m (90-day active members, 2026, quality A)</x:v>
      </x:c>
    </x:row>
    <x:row r="54">
      <x:c r="A54" s="24" t="n">
        <x:f>COUNTIF($F$4:$F$148,"&gt;"&amp;F54)+1</x:f>
        <x:v>51</x:v>
      </x:c>
      <x:c r="B54" s="18" t="str">
        <x:v>MyPanera</x:v>
      </x:c>
      <x:c r="C54" s="18" t="str">
        <x:v>Panera Brands</x:v>
      </x:c>
      <x:c r="D54" s="18" t="str">
        <x:v>Restaurants &amp; QSR</x:v>
      </x:c>
      <x:c r="E54" s="18" t="str">
        <x:v>United States</x:v>
      </x:c>
      <x:c r="F54" s="20" t="n">
        <x:v>52</x:v>
      </x:c>
      <x:c r="G54" s="22" t="n">
        <x:v>2023</x:v>
      </x:c>
      <x:c r="H54" s="18" t="str">
        <x:v>Members</x:v>
      </x:c>
      <x:c r="I54" s="18" t="str">
        <x:v>Mar-2023</x:v>
      </x:c>
      <x:c r="J54" s="18" t="str">
        <x:v>Current (≤4 years)</x:v>
      </x:c>
      <x:c r="K54" s="18" t="str">
        <x:v>B</x:v>
      </x:c>
      <x:c r="L54" s="18" t="str">
        <x:v>2026 industry report with cited underlying source</x:v>
      </x:c>
      <x:c r="M54" s="18" t="str">
        <x:v>Panera press release</x:v>
      </x:c>
      <x:c r="N54" s="18" t="str">
        <x:v>The World's Largest Loyalty Programs (2026)</x:v>
      </x:c>
      <x:c r="O54" s="18" t="str">
        <x:v>https://retailtechinnovationhub.squarespace.com/s/Capillary-Edition-WLLP-Approved.pdf</x:v>
      </x:c>
      <x:c r="P54" s="18" t="str"/>
    </x:row>
    <x:row r="55">
      <x:c r="A55" s="24" t="n">
        <x:f>COUNTIF($F$4:$F$148,"&gt;"&amp;F55)+1</x:f>
        <x:v>52</x:v>
      </x:c>
      <x:c r="B55" s="18" t="str">
        <x:v>LATAM Pass</x:v>
      </x:c>
      <x:c r="C55" s="18" t="str">
        <x:v>LATAM Airlines Group</x:v>
      </x:c>
      <x:c r="D55" s="18" t="str">
        <x:v>Airlines</x:v>
      </x:c>
      <x:c r="E55" s="18" t="str">
        <x:v>Latin America / Global</x:v>
      </x:c>
      <x:c r="F55" s="20" t="n">
        <x:v>51</x:v>
      </x:c>
      <x:c r="G55" s="22" t="n">
        <x:v>2025</x:v>
      </x:c>
      <x:c r="H55" s="18" t="str">
        <x:v>Members</x:v>
      </x:c>
      <x:c r="I55" s="18" t="str">
        <x:v>Aug-2025</x:v>
      </x:c>
      <x:c r="J55" s="18" t="str">
        <x:v>Current (≤4 years)</x:v>
      </x:c>
      <x:c r="K55" s="18" t="str">
        <x:v>C</x:v>
      </x:c>
      <x:c r="L55" s="18" t="str">
        <x:v>2026 industry report with cited underlying source</x:v>
      </x:c>
      <x:c r="M55" s="18" t="str">
        <x:v>ZoneBourse citing LATAM</x:v>
      </x:c>
      <x:c r="N55" s="18" t="str">
        <x:v>The World's Largest Loyalty Programs (2026)</x:v>
      </x:c>
      <x:c r="O55" s="18" t="str">
        <x:v>https://retailtechinnovationhub.squarespace.com/s/Capillary-Edition-WLLP-Approved.pdf</x:v>
      </x:c>
      <x:c r="P55" s="18" t="str">
        <x:v>Alternative: 45m (Members, 2023, quality B)</x:v>
      </x:c>
    </x:row>
    <x:row r="56">
      <x:c r="A56" s="24" t="n">
        <x:f>COUNTIF($F$4:$F$148,"&gt;"&amp;F56)+1</x:f>
        <x:v>53</x:v>
      </x:c>
      <x:c r="B56" s="18" t="str">
        <x:v>88VIP</x:v>
      </x:c>
      <x:c r="C56" s="18" t="str">
        <x:v>Alibaba Group</x:v>
      </x:c>
      <x:c r="D56" s="18" t="str">
        <x:v>Paid membership &amp; e-commerce</x:v>
      </x:c>
      <x:c r="E56" s="18" t="str">
        <x:v>China</x:v>
      </x:c>
      <x:c r="F56" s="20" t="n">
        <x:v>50</x:v>
      </x:c>
      <x:c r="G56" s="22" t="n">
        <x:v>2025</x:v>
      </x:c>
      <x:c r="H56" s="18" t="str">
        <x:v>Members</x:v>
      </x:c>
      <x:c r="I56" s="18" t="str">
        <x:v>Mar-2025</x:v>
      </x:c>
      <x:c r="J56" s="18" t="str">
        <x:v>Current (≤4 years)</x:v>
      </x:c>
      <x:c r="K56" s="18" t="str">
        <x:v>B</x:v>
      </x:c>
      <x:c r="L56" s="18" t="str">
        <x:v>2026 industry report with cited underlying source</x:v>
      </x:c>
      <x:c r="M56" s="18" t="str">
        <x:v>Alibaba website</x:v>
      </x:c>
      <x:c r="N56" s="18" t="str">
        <x:v>The World's Largest Loyalty Programs (2026)</x:v>
      </x:c>
      <x:c r="O56" s="18" t="str">
        <x:v>https://retailtechinnovationhub.squarespace.com/s/Capillary-Edition-WLLP-Approved.pdf</x:v>
      </x:c>
      <x:c r="P56" s="18" t="str"/>
    </x:row>
    <x:row r="57">
      <x:c r="A57" s="24" t="n">
        <x:f>COUNTIF($F$4:$F$148,"&gt;"&amp;F57)+1</x:f>
        <x:v>53</x:v>
      </x:c>
      <x:c r="B57" s="18" t="str">
        <x:v>Chick-fil-A One</x:v>
      </x:c>
      <x:c r="C57" s="18" t="str">
        <x:v>Chick-fil-A</x:v>
      </x:c>
      <x:c r="D57" s="18" t="str">
        <x:v>Restaurants &amp; QSR</x:v>
      </x:c>
      <x:c r="E57" s="18" t="str">
        <x:v>United States</x:v>
      </x:c>
      <x:c r="F57" s="20" t="n">
        <x:v>50</x:v>
      </x:c>
      <x:c r="G57" s="22" t="n">
        <x:v>2023</x:v>
      </x:c>
      <x:c r="H57" s="18" t="str">
        <x:v>Members</x:v>
      </x:c>
      <x:c r="I57" s="18" t="str">
        <x:v>Mar-2023</x:v>
      </x:c>
      <x:c r="J57" s="18" t="str">
        <x:v>Current (≤4 years)</x:v>
      </x:c>
      <x:c r="K57" s="18" t="str">
        <x:v>C</x:v>
      </x:c>
      <x:c r="L57" s="18" t="str">
        <x:v>2026 industry report with cited underlying source</x:v>
      </x:c>
      <x:c r="M57" s="18" t="str">
        <x:v>Restaurant Dive</x:v>
      </x:c>
      <x:c r="N57" s="18" t="str">
        <x:v>The World's Largest Loyalty Programs (2026)</x:v>
      </x:c>
      <x:c r="O57" s="18" t="str">
        <x:v>https://retailtechinnovationhub.squarespace.com/s/Capillary-Edition-WLLP-Approved.pdf</x:v>
      </x:c>
      <x:c r="P57" s="18" t="str"/>
    </x:row>
    <x:row r="58">
      <x:c r="A58" s="24" t="n">
        <x:f>COUNTIF($F$4:$F$148,"&gt;"&amp;F58)+1</x:f>
        <x:v>53</x:v>
      </x:c>
      <x:c r="B58" s="18" t="str">
        <x:v>Dotz</x:v>
      </x:c>
      <x:c r="C58" s="18" t="str">
        <x:v>Dotz S.A.</x:v>
      </x:c>
      <x:c r="D58" s="18" t="str">
        <x:v>Coalition &amp; points</x:v>
      </x:c>
      <x:c r="E58" s="18" t="str">
        <x:v>Brazil</x:v>
      </x:c>
      <x:c r="F58" s="20" t="n">
        <x:v>50</x:v>
      </x:c>
      <x:c r="G58" s="22" t="n">
        <x:v>2023</x:v>
      </x:c>
      <x:c r="H58" s="18" t="str">
        <x:v>Members</x:v>
      </x:c>
      <x:c r="I58" s="18" t="str">
        <x:v>Apr-2023</x:v>
      </x:c>
      <x:c r="J58" s="18" t="str">
        <x:v>Current (≤4 years)</x:v>
      </x:c>
      <x:c r="K58" s="18" t="str">
        <x:v>C</x:v>
      </x:c>
      <x:c r="L58" s="18" t="str">
        <x:v>2026 industry report with cited underlying source</x:v>
      </x:c>
      <x:c r="M58" s="18" t="str">
        <x:v>Let's Talk Loyalty interview</x:v>
      </x:c>
      <x:c r="N58" s="18" t="str">
        <x:v>The World's Largest Loyalty Programs (2026)</x:v>
      </x:c>
      <x:c r="O58" s="18" t="str">
        <x:v>https://retailtechinnovationhub.squarespace.com/s/Capillary-Edition-WLLP-Approved.pdf</x:v>
      </x:c>
      <x:c r="P58" s="18" t="str"/>
    </x:row>
    <x:row r="59">
      <x:c r="A59" s="24" t="n">
        <x:f>COUNTIF($F$4:$F$148,"&gt;"&amp;F59)+1</x:f>
        <x:v>56</x:v>
      </x:c>
      <x:c r="B59" s="18" t="str">
        <x:v>Albertsons for U</x:v>
      </x:c>
      <x:c r="C59" s="18" t="str">
        <x:v>Albertsons Companies</x:v>
      </x:c>
      <x:c r="D59" s="18" t="str">
        <x:v>Retail &amp; grocery</x:v>
      </x:c>
      <x:c r="E59" s="18" t="str">
        <x:v>United States</x:v>
      </x:c>
      <x:c r="F59" s="20" t="n">
        <x:v>47</x:v>
      </x:c>
      <x:c r="G59" s="22" t="n">
        <x:v>2025</x:v>
      </x:c>
      <x:c r="H59" s="18" t="str">
        <x:v>Members / households</x:v>
      </x:c>
      <x:c r="I59" s="18" t="str">
        <x:v>Jul-2025</x:v>
      </x:c>
      <x:c r="J59" s="18" t="str">
        <x:v>Current (≤4 years)</x:v>
      </x:c>
      <x:c r="K59" s="18" t="str">
        <x:v>B</x:v>
      </x:c>
      <x:c r="L59" s="18" t="str">
        <x:v>2026 industry report with cited underlying source</x:v>
      </x:c>
      <x:c r="M59" s="18" t="str">
        <x:v>Albertsons Q1 2025 financial report</x:v>
      </x:c>
      <x:c r="N59" s="18" t="str">
        <x:v>The World's Largest Loyalty Programs (2026)</x:v>
      </x:c>
      <x:c r="O59" s="18" t="str">
        <x:v>https://retailtechinnovationhub.squarespace.com/s/Capillary-Edition-WLLP-Approved.pdf</x:v>
      </x:c>
      <x:c r="P59" s="18" t="str"/>
    </x:row>
    <x:row r="60">
      <x:c r="A60" s="24" t="n">
        <x:f>COUNTIF($F$4:$F$148,"&gt;"&amp;F60)+1</x:f>
        <x:v>57</x:v>
      </x:c>
      <x:c r="B60" s="18" t="str">
        <x:v>Landmark Rewards</x:v>
      </x:c>
      <x:c r="C60" s="18" t="str">
        <x:v>Landmark Group</x:v>
      </x:c>
      <x:c r="D60" s="18" t="str">
        <x:v>Retail &amp; consumer brands</x:v>
      </x:c>
      <x:c r="E60" s="18" t="str">
        <x:v>Middle East / India</x:v>
      </x:c>
      <x:c r="F60" s="20" t="n">
        <x:v>46</x:v>
      </x:c>
      <x:c r="G60" s="22" t="n">
        <x:v>2019</x:v>
      </x:c>
      <x:c r="H60" s="18" t="str">
        <x:v>Members</x:v>
      </x:c>
      <x:c r="I60" s="18" t="str">
        <x:v>Jun-2019</x:v>
      </x:c>
      <x:c r="J60" s="18" t="str">
        <x:v>Older than 4 years</x:v>
      </x:c>
      <x:c r="K60" s="18" t="str">
        <x:v>B</x:v>
      </x:c>
      <x:c r="L60" s="18" t="str">
        <x:v>2026 industry report with cited underlying source</x:v>
      </x:c>
      <x:c r="M60" s="18" t="str">
        <x:v>Landmark sustainability report</x:v>
      </x:c>
      <x:c r="N60" s="18" t="str">
        <x:v>The World's Largest Loyalty Programs (2026)</x:v>
      </x:c>
      <x:c r="O60" s="18" t="str">
        <x:v>https://retailtechinnovationhub.squarespace.com/s/Capillary-Edition-WLLP-Approved.pdf</x:v>
      </x:c>
      <x:c r="P60" s="18" t="str">
        <x:v>Disclosure is older than four years.</x:v>
      </x:c>
    </x:row>
    <x:row r="61">
      <x:c r="A61" s="24" t="n">
        <x:f>COUNTIF($F$4:$F$148,"&gt;"&amp;F61)+1</x:f>
        <x:v>58</x:v>
      </x:c>
      <x:c r="B61" s="18" t="str">
        <x:v>Livelo</x:v>
      </x:c>
      <x:c r="C61" s="18" t="str">
        <x:v>Livelo S.A. / Banco do Brasil and Bradesco</x:v>
      </x:c>
      <x:c r="D61" s="18" t="str">
        <x:v>Coalition &amp; points</x:v>
      </x:c>
      <x:c r="E61" s="18" t="str">
        <x:v>Brazil</x:v>
      </x:c>
      <x:c r="F61" s="20" t="n">
        <x:v>45</x:v>
      </x:c>
      <x:c r="G61" s="22" t="n">
        <x:v>2024</x:v>
      </x:c>
      <x:c r="H61" s="18" t="str">
        <x:v>Members</x:v>
      </x:c>
      <x:c r="I61" s="18" t="str">
        <x:v>Aug-2024</x:v>
      </x:c>
      <x:c r="J61" s="18" t="str">
        <x:v>Current (≤4 years)</x:v>
      </x:c>
      <x:c r="K61" s="18" t="str">
        <x:v>C</x:v>
      </x:c>
      <x:c r="L61" s="18" t="str">
        <x:v>2026 industry report with cited underlying source</x:v>
      </x:c>
      <x:c r="M61" s="18" t="str">
        <x:v>Let's Talk Loyalty interview</x:v>
      </x:c>
      <x:c r="N61" s="18" t="str">
        <x:v>The World's Largest Loyalty Programs (2026)</x:v>
      </x:c>
      <x:c r="O61" s="18" t="str">
        <x:v>https://retailtechinnovationhub.squarespace.com/s/Capillary-Edition-WLLP-Approved.pdf</x:v>
      </x:c>
      <x:c r="P61" s="18" t="str"/>
    </x:row>
    <x:row r="62">
      <x:c r="A62" s="24" t="n">
        <x:f>COUNTIF($F$4:$F$148,"&gt;"&amp;F62)+1</x:f>
        <x:v>58</x:v>
      </x:c>
      <x:c r="B62" s="18" t="str">
        <x:v>Ulta Beauty Rewards</x:v>
      </x:c>
      <x:c r="C62" s="18" t="str">
        <x:v>Ulta Beauty</x:v>
      </x:c>
      <x:c r="D62" s="18" t="str">
        <x:v>Retail &amp; beauty</x:v>
      </x:c>
      <x:c r="E62" s="18" t="str">
        <x:v>United States</x:v>
      </x:c>
      <x:c r="F62" s="20" t="n">
        <x:v>45</x:v>
      </x:c>
      <x:c r="G62" s="22" t="n">
        <x:v>2024</x:v>
      </x:c>
      <x:c r="H62" s="18" t="str">
        <x:v>Active members</x:v>
      </x:c>
      <x:c r="I62" s="18" t="str">
        <x:v>Jan-2025</x:v>
      </x:c>
      <x:c r="J62" s="18" t="str">
        <x:v>Current (≤4 years)</x:v>
      </x:c>
      <x:c r="K62" s="18" t="str">
        <x:v>B</x:v>
      </x:c>
      <x:c r="L62" s="18" t="str">
        <x:v>2026 industry report with cited underlying source</x:v>
      </x:c>
      <x:c r="M62" s="18" t="str">
        <x:v>Ulta Beauty Annual Report, p.6</x:v>
      </x:c>
      <x:c r="N62" s="18" t="str">
        <x:v>The World's Largest Loyalty Programs (2026)</x:v>
      </x:c>
      <x:c r="O62" s="18" t="str">
        <x:v>https://retailtechinnovationhub.squarespace.com/s/Capillary-Edition-WLLP-Approved.pdf</x:v>
      </x:c>
      <x:c r="P62" s="18" t="str"/>
    </x:row>
    <x:row r="63">
      <x:c r="A63" s="24" t="n">
        <x:f>COUNTIF($F$4:$F$148,"&gt;"&amp;F63)+1</x:f>
        <x:v>60</x:v>
      </x:c>
      <x:c r="B63" s="18" t="str">
        <x:v>Wendy's Rewards</x:v>
      </x:c>
      <x:c r="C63" s="18" t="str">
        <x:v>The Wendy's Company</x:v>
      </x:c>
      <x:c r="D63" s="18" t="str">
        <x:v>Restaurants &amp; QSR</x:v>
      </x:c>
      <x:c r="E63" s="18" t="str">
        <x:v>North America</x:v>
      </x:c>
      <x:c r="F63" s="20" t="n">
        <x:v>42</x:v>
      </x:c>
      <x:c r="G63" s="22" t="n">
        <x:v>2024</x:v>
      </x:c>
      <x:c r="H63" s="18" t="str">
        <x:v>Members</x:v>
      </x:c>
      <x:c r="I63" s="18" t="str">
        <x:v>Aug-2024</x:v>
      </x:c>
      <x:c r="J63" s="18" t="str">
        <x:v>Current (≤4 years)</x:v>
      </x:c>
      <x:c r="K63" s="18" t="str">
        <x:v>C</x:v>
      </x:c>
      <x:c r="L63" s="18" t="str">
        <x:v>2026 industry report with cited underlying source</x:v>
      </x:c>
      <x:c r="M63" s="18" t="str">
        <x:v>CX Dive</x:v>
      </x:c>
      <x:c r="N63" s="18" t="str">
        <x:v>The World's Largest Loyalty Programs (2026)</x:v>
      </x:c>
      <x:c r="O63" s="18" t="str">
        <x:v>https://retailtechinnovationhub.squarespace.com/s/Capillary-Edition-WLLP-Approved.pdf</x:v>
      </x:c>
      <x:c r="P63" s="18" t="str"/>
    </x:row>
    <x:row r="64">
      <x:c r="A64" s="24" t="n">
        <x:f>COUNTIF($F$4:$F$148,"&gt;"&amp;F64)+1</x:f>
        <x:v>61</x:v>
      </x:c>
      <x:c r="B64" s="18" t="str">
        <x:v>ANA Mileage Club</x:v>
      </x:c>
      <x:c r="C64" s="18" t="str">
        <x:v>ANA Holdings</x:v>
      </x:c>
      <x:c r="D64" s="18" t="str">
        <x:v>Airlines</x:v>
      </x:c>
      <x:c r="E64" s="18" t="str">
        <x:v>Japan / Global</x:v>
      </x:c>
      <x:c r="F64" s="20" t="n">
        <x:v>40</x:v>
      </x:c>
      <x:c r="G64" s="22" t="n">
        <x:v>2023</x:v>
      </x:c>
      <x:c r="H64" s="18" t="str">
        <x:v>Members</x:v>
      </x:c>
      <x:c r="I64" s="18" t="str">
        <x:v>2024</x:v>
      </x:c>
      <x:c r="J64" s="18" t="str">
        <x:v>Current (≤4 years)</x:v>
      </x:c>
      <x:c r="K64" s="18" t="str">
        <x:v>B</x:v>
      </x:c>
      <x:c r="L64" s="18" t="str">
        <x:v>2024 airline industry report with cited underlying source</x:v>
      </x:c>
      <x:c r="M64" s="18" t="str">
        <x:v>ANA FY2023 Annual Report</x:v>
      </x:c>
      <x:c r="N64" s="18" t="str">
        <x:v>2024 Big Book of Airline Data</x:v>
      </x:c>
      <x:c r="O64" s="18" t="str">
        <x:v>https://ideaworkscompany.com/wp-content/uploads/2024/12/2024-Big-Book-of-Airline-Data-by-IdeaWorks-1.2.pdf</x:v>
      </x:c>
      <x:c r="P64" s="18" t="str"/>
    </x:row>
    <x:row r="65">
      <x:c r="A65" s="24" t="n">
        <x:f>COUNTIF($F$4:$F$148,"&gt;"&amp;F65)+1</x:f>
        <x:v>61</x:v>
      </x:c>
      <x:c r="B65" s="18" t="str">
        <x:v>Avios / IAG loyalty members</x:v>
      </x:c>
      <x:c r="C65" s="18" t="str">
        <x:v>International Airlines Group</x:v>
      </x:c>
      <x:c r="D65" s="18" t="str">
        <x:v>Airlines</x:v>
      </x:c>
      <x:c r="E65" s="18" t="str">
        <x:v>Global</x:v>
      </x:c>
      <x:c r="F65" s="20" t="n">
        <x:v>40</x:v>
      </x:c>
      <x:c r="G65" s="22" t="n">
        <x:v>2023</x:v>
      </x:c>
      <x:c r="H65" s="18" t="str">
        <x:v>Members</x:v>
      </x:c>
      <x:c r="I65" s="18" t="str">
        <x:v>2024</x:v>
      </x:c>
      <x:c r="J65" s="18" t="str">
        <x:v>Current (≤4 years)</x:v>
      </x:c>
      <x:c r="K65" s="18" t="str">
        <x:v>B</x:v>
      </x:c>
      <x:c r="L65" s="18" t="str">
        <x:v>2024 airline industry report with cited underlying source</x:v>
      </x:c>
      <x:c r="M65" s="18" t="str">
        <x:v>IAG Annual Report 2023</x:v>
      </x:c>
      <x:c r="N65" s="18" t="str">
        <x:v>2024 Big Book of Airline Data</x:v>
      </x:c>
      <x:c r="O65" s="18" t="str">
        <x:v>https://ideaworkscompany.com/wp-content/uploads/2024/12/2024-Big-Book-of-Airline-Data-by-IdeaWorks-1.2.pdf</x:v>
      </x:c>
      <x:c r="P65" s="18" t="str"/>
    </x:row>
    <x:row r="66">
      <x:c r="A66" s="24" t="n">
        <x:f>COUNTIF($F$4:$F$148,"&gt;"&amp;F66)+1</x:f>
        <x:v>61</x:v>
      </x:c>
      <x:c r="B66" s="18" t="str">
        <x:v>Chipotle Rewards</x:v>
      </x:c>
      <x:c r="C66" s="18" t="str">
        <x:v>Chipotle Mexican Grill</x:v>
      </x:c>
      <x:c r="D66" s="18" t="str">
        <x:v>Restaurants &amp; QSR</x:v>
      </x:c>
      <x:c r="E66" s="18" t="str">
        <x:v>North America</x:v>
      </x:c>
      <x:c r="F66" s="20" t="n">
        <x:v>40</x:v>
      </x:c>
      <x:c r="G66" s="22" t="n">
        <x:v>2024</x:v>
      </x:c>
      <x:c r="H66" s="18" t="str">
        <x:v>Members</x:v>
      </x:c>
      <x:c r="I66" s="18" t="str">
        <x:v>Apr-2024</x:v>
      </x:c>
      <x:c r="J66" s="18" t="str">
        <x:v>Current (≤4 years)</x:v>
      </x:c>
      <x:c r="K66" s="18" t="str">
        <x:v>C</x:v>
      </x:c>
      <x:c r="L66" s="18" t="str">
        <x:v>2026 industry report with cited underlying source</x:v>
      </x:c>
      <x:c r="M66" s="18" t="str">
        <x:v>Hospitality Technology</x:v>
      </x:c>
      <x:c r="N66" s="18" t="str">
        <x:v>The World's Largest Loyalty Programs (2026)</x:v>
      </x:c>
      <x:c r="O66" s="18" t="str">
        <x:v>https://retailtechinnovationhub.squarespace.com/s/Capillary-Edition-WLLP-Approved.pdf</x:v>
      </x:c>
      <x:c r="P66" s="18" t="str"/>
    </x:row>
    <x:row r="67">
      <x:c r="A67" s="24" t="n">
        <x:f>COUNTIF($F$4:$F$148,"&gt;"&amp;F67)+1</x:f>
        <x:v>61</x:v>
      </x:c>
      <x:c r="B67" s="18" t="str">
        <x:v>JAL Mileage Bank</x:v>
      </x:c>
      <x:c r="C67" s="18" t="str">
        <x:v>Japan Airlines</x:v>
      </x:c>
      <x:c r="D67" s="18" t="str">
        <x:v>Airlines</x:v>
      </x:c>
      <x:c r="E67" s="18" t="str">
        <x:v>Japan / Global</x:v>
      </x:c>
      <x:c r="F67" s="20" t="n">
        <x:v>40</x:v>
      </x:c>
      <x:c r="G67" s="22" t="n">
        <x:v>2025</x:v>
      </x:c>
      <x:c r="H67" s="18" t="str">
        <x:v>Members (approx.)</x:v>
      </x:c>
      <x:c r="I67" s="18" t="str">
        <x:v>Aug-2025</x:v>
      </x:c>
      <x:c r="J67" s="18" t="str">
        <x:v>Current (≤4 years)</x:v>
      </x:c>
      <x:c r="K67" s="18" t="str">
        <x:v>A</x:v>
      </x:c>
      <x:c r="L67" s="18" t="str">
        <x:v>Official company source</x:v>
      </x:c>
      <x:c r="M67" s="18" t="str">
        <x:v>JAL Report 2025</x:v>
      </x:c>
      <x:c r="N67" s="18" t="str">
        <x:v>JAL Report 2025</x:v>
      </x:c>
      <x:c r="O67" s="18" t="str">
        <x:v>https://www.jal.com/sites/en/sustainability/report/pdf_sites/index_2025b.pdf</x:v>
      </x:c>
      <x:c r="P67" s="18" t="str">
        <x:v>Alternative: 37m (Members, 2022, quality B)</x:v>
      </x:c>
    </x:row>
    <x:row r="68">
      <x:c r="A68" s="24" t="n">
        <x:f>COUNTIF($F$4:$F$148,"&gt;"&amp;F68)+1</x:f>
        <x:v>61</x:v>
      </x:c>
      <x:c r="B68" s="18" t="str">
        <x:v>Sephora Beauty Insider</x:v>
      </x:c>
      <x:c r="C68" s="18" t="str">
        <x:v>Sephora / LVMH</x:v>
      </x:c>
      <x:c r="D68" s="18" t="str">
        <x:v>Retail &amp; beauty</x:v>
      </x:c>
      <x:c r="E68" s="18" t="str">
        <x:v>North America / Global</x:v>
      </x:c>
      <x:c r="F68" s="20" t="n">
        <x:v>40</x:v>
      </x:c>
      <x:c r="G68" s="22" t="n">
        <x:v>2024</x:v>
      </x:c>
      <x:c r="H68" s="18" t="str">
        <x:v>Members</x:v>
      </x:c>
      <x:c r="I68" s="18" t="str">
        <x:v>Sep-2024</x:v>
      </x:c>
      <x:c r="J68" s="18" t="str">
        <x:v>Current (≤4 years)</x:v>
      </x:c>
      <x:c r="K68" s="18" t="str">
        <x:v>C</x:v>
      </x:c>
      <x:c r="L68" s="18" t="str">
        <x:v>2026 industry report with cited underlying source</x:v>
      </x:c>
      <x:c r="M68" s="18" t="str">
        <x:v>Modern Retail</x:v>
      </x:c>
      <x:c r="N68" s="18" t="str">
        <x:v>The World's Largest Loyalty Programs (2026)</x:v>
      </x:c>
      <x:c r="O68" s="18" t="str">
        <x:v>https://retailtechinnovationhub.squarespace.com/s/Capillary-Edition-WLLP-Approved.pdf</x:v>
      </x:c>
      <x:c r="P68" s="18" t="str"/>
    </x:row>
    <x:row r="69">
      <x:c r="A69" s="24" t="n">
        <x:f>COUNTIF($F$4:$F$148,"&gt;"&amp;F69)+1</x:f>
        <x:v>61</x:v>
      </x:c>
      <x:c r="B69" s="18" t="str">
        <x:v>Spin Premia</x:v>
      </x:c>
      <x:c r="C69" s="18" t="str">
        <x:v>FEMSA</x:v>
      </x:c>
      <x:c r="D69" s="18" t="str">
        <x:v>Coalition &amp; fintech</x:v>
      </x:c>
      <x:c r="E69" s="18" t="str">
        <x:v>Mexico</x:v>
      </x:c>
      <x:c r="F69" s="20" t="n">
        <x:v>40</x:v>
      </x:c>
      <x:c r="G69" s="22" t="n">
        <x:v>2024</x:v>
      </x:c>
      <x:c r="H69" s="18" t="str">
        <x:v>Users / members</x:v>
      </x:c>
      <x:c r="I69" s="18" t="str">
        <x:v>Mar-2024</x:v>
      </x:c>
      <x:c r="J69" s="18" t="str">
        <x:v>Current (≤4 years)</x:v>
      </x:c>
      <x:c r="K69" s="18" t="str">
        <x:v>C</x:v>
      </x:c>
      <x:c r="L69" s="18" t="str">
        <x:v>2026 industry report with cited underlying source</x:v>
      </x:c>
      <x:c r="M69" s="18" t="str">
        <x:v>The Wise Marketer</x:v>
      </x:c>
      <x:c r="N69" s="18" t="str">
        <x:v>The World's Largest Loyalty Programs (2026)</x:v>
      </x:c>
      <x:c r="O69" s="18" t="str">
        <x:v>https://retailtechinnovationhub.squarespace.com/s/Capillary-Edition-WLLP-Approved.pdf</x:v>
      </x:c>
      <x:c r="P69" s="18" t="str"/>
    </x:row>
    <x:row r="70">
      <x:c r="A70" s="24" t="n">
        <x:f>COUNTIF($F$4:$F$148,"&gt;"&amp;F70)+1</x:f>
        <x:v>67</x:v>
      </x:c>
      <x:c r="B70" s="18" t="str">
        <x:v>Miles &amp; More</x:v>
      </x:c>
      <x:c r="C70" s="18" t="str">
        <x:v>Lufthansa Group</x:v>
      </x:c>
      <x:c r="D70" s="18" t="str">
        <x:v>Airlines</x:v>
      </x:c>
      <x:c r="E70" s="18" t="str">
        <x:v>Global</x:v>
      </x:c>
      <x:c r="F70" s="20" t="n">
        <x:v>39</x:v>
      </x:c>
      <x:c r="G70" s="22" t="n">
        <x:v>2026</x:v>
      </x:c>
      <x:c r="H70" s="18" t="str">
        <x:v>Members (over)</x:v>
      </x:c>
      <x:c r="I70" s="18" t="str">
        <x:v>Mar-2026</x:v>
      </x:c>
      <x:c r="J70" s="18" t="str">
        <x:v>Current (≤4 years)</x:v>
      </x:c>
      <x:c r="K70" s="18" t="str">
        <x:v>A</x:v>
      </x:c>
      <x:c r="L70" s="18" t="str">
        <x:v>Official company source</x:v>
      </x:c>
      <x:c r="M70" s="18" t="str">
        <x:v>Miles &amp; More and ITA Airways integration release</x:v>
      </x:c>
      <x:c r="N70" s="18" t="str">
        <x:v>Miles &amp; More and ITA Airways integration release</x:v>
      </x:c>
      <x:c r="O70" s="18" t="str">
        <x:v>https://www.miles-and-more.com/be/en/program/news/global_ita_award_flight_programme_press_2603.html</x:v>
      </x:c>
      <x:c r="P70" s="18" t="str">
        <x:v>Alternative: 36m (Members, 2025, quality B)</x:v>
      </x:c>
    </x:row>
    <x:row r="71">
      <x:c r="A71" s="24" t="n">
        <x:f>COUNTIF($F$4:$F$148,"&gt;"&amp;F71)+1</x:f>
        <x:v>67</x:v>
      </x:c>
      <x:c r="B71" s="18" t="str">
        <x:v>TFG Rewards</x:v>
      </x:c>
      <x:c r="C71" s="18" t="str">
        <x:v>The Foschini Group</x:v>
      </x:c>
      <x:c r="D71" s="18" t="str">
        <x:v>Retail &amp; consumer brands</x:v>
      </x:c>
      <x:c r="E71" s="18" t="str">
        <x:v>Southern Africa</x:v>
      </x:c>
      <x:c r="F71" s="20" t="n">
        <x:v>39</x:v>
      </x:c>
      <x:c r="G71" s="22" t="n">
        <x:v>2025</x:v>
      </x:c>
      <x:c r="H71" s="18" t="str">
        <x:v>Members</x:v>
      </x:c>
      <x:c r="I71" s="18" t="str">
        <x:v>Mar-2025</x:v>
      </x:c>
      <x:c r="J71" s="18" t="str">
        <x:v>Current (≤4 years)</x:v>
      </x:c>
      <x:c r="K71" s="18" t="str">
        <x:v>B</x:v>
      </x:c>
      <x:c r="L71" s="18" t="str">
        <x:v>2026 industry report with cited underlying source</x:v>
      </x:c>
      <x:c r="M71" s="18" t="str">
        <x:v>TFG website</x:v>
      </x:c>
      <x:c r="N71" s="18" t="str">
        <x:v>The World's Largest Loyalty Programs (2026)</x:v>
      </x:c>
      <x:c r="O71" s="18" t="str">
        <x:v>https://retailtechinnovationhub.squarespace.com/s/Capillary-Edition-WLLP-Approved.pdf</x:v>
      </x:c>
      <x:c r="P71" s="18" t="str"/>
    </x:row>
    <x:row r="72">
      <x:c r="A72" s="24" t="n">
        <x:f>COUNTIF($F$4:$F$148,"&gt;"&amp;F72)+1</x:f>
        <x:v>69</x:v>
      </x:c>
      <x:c r="B72" s="18" t="str">
        <x:v>AARP Member Benefits</x:v>
      </x:c>
      <x:c r="C72" s="18" t="str">
        <x:v>AARP</x:v>
      </x:c>
      <x:c r="D72" s="18" t="str">
        <x:v>Membership &amp; services</x:v>
      </x:c>
      <x:c r="E72" s="18" t="str">
        <x:v>United States</x:v>
      </x:c>
      <x:c r="F72" s="20" t="n">
        <x:v>38</x:v>
      </x:c>
      <x:c r="G72" s="22" t="n">
        <x:v>2025</x:v>
      </x:c>
      <x:c r="H72" s="18" t="str">
        <x:v>Members</x:v>
      </x:c>
      <x:c r="I72" s="18" t="str">
        <x:v>Apr-2025</x:v>
      </x:c>
      <x:c r="J72" s="18" t="str">
        <x:v>Current (≤4 years)</x:v>
      </x:c>
      <x:c r="K72" s="18" t="str">
        <x:v>B</x:v>
      </x:c>
      <x:c r="L72" s="18" t="str">
        <x:v>2026 industry report with cited underlying source</x:v>
      </x:c>
      <x:c r="M72" s="18" t="str">
        <x:v>AARP website</x:v>
      </x:c>
      <x:c r="N72" s="18" t="str">
        <x:v>The World's Largest Loyalty Programs (2026)</x:v>
      </x:c>
      <x:c r="O72" s="18" t="str">
        <x:v>https://retailtechinnovationhub.squarespace.com/s/Capillary-Edition-WLLP-Approved.pdf</x:v>
      </x:c>
      <x:c r="P72" s="18" t="str"/>
    </x:row>
    <x:row r="73">
      <x:c r="A73" s="24" t="n">
        <x:f>COUNTIF($F$4:$F$148,"&gt;"&amp;F73)+1</x:f>
        <x:v>70</x:v>
      </x:c>
      <x:c r="B73" s="18" t="str">
        <x:v>Emirates Skywards</x:v>
      </x:c>
      <x:c r="C73" s="18" t="str">
        <x:v>Emirates Group</x:v>
      </x:c>
      <x:c r="D73" s="18" t="str">
        <x:v>Airlines</x:v>
      </x:c>
      <x:c r="E73" s="18" t="str">
        <x:v>Global</x:v>
      </x:c>
      <x:c r="F73" s="20" t="n">
        <x:v>37</x:v>
      </x:c>
      <x:c r="G73" s="22" t="n">
        <x:v>2025</x:v>
      </x:c>
      <x:c r="H73" s="18" t="str">
        <x:v>Members (over)</x:v>
      </x:c>
      <x:c r="I73" s="18" t="str">
        <x:v>Sep-2025</x:v>
      </x:c>
      <x:c r="J73" s="18" t="str">
        <x:v>Current (≤4 years)</x:v>
      </x:c>
      <x:c r="K73" s="18" t="str">
        <x:v>A</x:v>
      </x:c>
      <x:c r="L73" s="18" t="str">
        <x:v>Official company source</x:v>
      </x:c>
      <x:c r="M73" s="18" t="str">
        <x:v>Skywards celebrates 25 years</x:v>
      </x:c>
      <x:c r="N73" s="18" t="str">
        <x:v>Skywards celebrates 25 years</x:v>
      </x:c>
      <x:c r="O73" s="18" t="str">
        <x:v>https://www.emirates.com/media-centre/soaring-into-a-silver-jubilee---emirates-skywards-turns-25/</x:v>
      </x:c>
      <x:c r="P73" s="18" t="str">
        <x:v>Alternative: 37m (Members, 2025, quality B); Alternative: 37m (Members, 2025, quality A)</x:v>
      </x:c>
    </x:row>
    <x:row r="74">
      <x:c r="A74" s="24" t="n">
        <x:f>COUNTIF($F$4:$F$148,"&gt;"&amp;F74)+1</x:f>
        <x:v>70</x:v>
      </x:c>
      <x:c r="B74" s="18" t="str">
        <x:v>Gap Good Rewards</x:v>
      </x:c>
      <x:c r="C74" s="18" t="str">
        <x:v>Gap Inc.</x:v>
      </x:c>
      <x:c r="D74" s="18" t="str">
        <x:v>Retail &amp; consumer brands</x:v>
      </x:c>
      <x:c r="E74" s="18" t="str">
        <x:v>United States</x:v>
      </x:c>
      <x:c r="F74" s="20" t="n">
        <x:v>37</x:v>
      </x:c>
      <x:c r="G74" s="22" t="n">
        <x:v>2021</x:v>
      </x:c>
      <x:c r="H74" s="18" t="str">
        <x:v>Members</x:v>
      </x:c>
      <x:c r="I74" s="18" t="str">
        <x:v>Jul-2021</x:v>
      </x:c>
      <x:c r="J74" s="18" t="str">
        <x:v>Older than 4 years</x:v>
      </x:c>
      <x:c r="K74" s="18" t="str">
        <x:v>B</x:v>
      </x:c>
      <x:c r="L74" s="18" t="str">
        <x:v>2026 industry report with cited underlying source</x:v>
      </x:c>
      <x:c r="M74" s="18" t="str">
        <x:v>Gap press release</x:v>
      </x:c>
      <x:c r="N74" s="18" t="str">
        <x:v>The World's Largest Loyalty Programs (2026)</x:v>
      </x:c>
      <x:c r="O74" s="18" t="str">
        <x:v>https://retailtechinnovationhub.squarespace.com/s/Capillary-Edition-WLLP-Approved.pdf</x:v>
      </x:c>
      <x:c r="P74" s="18" t="str">
        <x:v>Disclosure is older than four years.</x:v>
      </x:c>
    </x:row>
    <x:row r="75">
      <x:c r="A75" s="24" t="n">
        <x:f>COUNTIF($F$4:$F$148,"&gt;"&amp;F75)+1</x:f>
        <x:v>70</x:v>
      </x:c>
      <x:c r="B75" s="18" t="str">
        <x:v>My Bath &amp; Body Works Rewards</x:v>
      </x:c>
      <x:c r="C75" s="18" t="str">
        <x:v>Bath &amp; Body Works</x:v>
      </x:c>
      <x:c r="D75" s="18" t="str">
        <x:v>Retail &amp; beauty</x:v>
      </x:c>
      <x:c r="E75" s="18" t="str">
        <x:v>United States</x:v>
      </x:c>
      <x:c r="F75" s="20" t="n">
        <x:v>37</x:v>
      </x:c>
      <x:c r="G75" s="22" t="n">
        <x:v>2024</x:v>
      </x:c>
      <x:c r="H75" s="18" t="str">
        <x:v>Members</x:v>
      </x:c>
      <x:c r="I75" s="18" t="str">
        <x:v>Jun-2024</x:v>
      </x:c>
      <x:c r="J75" s="18" t="str">
        <x:v>Current (≤4 years)</x:v>
      </x:c>
      <x:c r="K75" s="18" t="str">
        <x:v>C</x:v>
      </x:c>
      <x:c r="L75" s="18" t="str">
        <x:v>2026 industry report with cited underlying source</x:v>
      </x:c>
      <x:c r="M75" s="18" t="str">
        <x:v>CX Dive</x:v>
      </x:c>
      <x:c r="N75" s="18" t="str">
        <x:v>The World's Largest Loyalty Programs (2026)</x:v>
      </x:c>
      <x:c r="O75" s="18" t="str">
        <x:v>https://retailtechinnovationhub.squarespace.com/s/Capillary-Edition-WLLP-Approved.pdf</x:v>
      </x:c>
      <x:c r="P75" s="18" t="str"/>
    </x:row>
    <x:row r="76">
      <x:c r="A76" s="24" t="n">
        <x:f>COUNTIF($F$4:$F$148,"&gt;"&amp;F76)+1</x:f>
        <x:v>73</x:v>
      </x:c>
      <x:c r="B76" s="18" t="str">
        <x:v>Domino's Rewards</x:v>
      </x:c>
      <x:c r="C76" s="18" t="str">
        <x:v>Domino's Pizza</x:v>
      </x:c>
      <x:c r="D76" s="18" t="str">
        <x:v>Restaurants &amp; QSR</x:v>
      </x:c>
      <x:c r="E76" s="18" t="str">
        <x:v>United States</x:v>
      </x:c>
      <x:c r="F76" s="20" t="n">
        <x:v>36</x:v>
      </x:c>
      <x:c r="G76" s="22" t="n">
        <x:v>2024</x:v>
      </x:c>
      <x:c r="H76" s="18" t="str">
        <x:v>Members</x:v>
      </x:c>
      <x:c r="I76" s="18" t="str">
        <x:v>Dec-2024</x:v>
      </x:c>
      <x:c r="J76" s="18" t="str">
        <x:v>Current (≤4 years)</x:v>
      </x:c>
      <x:c r="K76" s="18" t="str">
        <x:v>B</x:v>
      </x:c>
      <x:c r="L76" s="18" t="str">
        <x:v>2026 industry report with cited underlying source</x:v>
      </x:c>
      <x:c r="M76" s="18" t="str">
        <x:v>Domino's Annual Report, p.4</x:v>
      </x:c>
      <x:c r="N76" s="18" t="str">
        <x:v>The World's Largest Loyalty Programs (2026)</x:v>
      </x:c>
      <x:c r="O76" s="18" t="str">
        <x:v>https://retailtechinnovationhub.squarespace.com/s/Capillary-Edition-WLLP-Approved.pdf</x:v>
      </x:c>
      <x:c r="P76" s="18" t="str"/>
    </x:row>
    <x:row r="77">
      <x:c r="A77" s="24" t="n">
        <x:f>COUNTIF($F$4:$F$148,"&gt;"&amp;F77)+1</x:f>
        <x:v>74</x:v>
      </x:c>
      <x:c r="B77" s="18" t="str">
        <x:v>PAYBACK Germany</x:v>
      </x:c>
      <x:c r="C77" s="18" t="str">
        <x:v>PAYBACK Group / American Express</x:v>
      </x:c>
      <x:c r="D77" s="18" t="str">
        <x:v>Coalition &amp; points</x:v>
      </x:c>
      <x:c r="E77" s="18" t="str">
        <x:v>Germany</x:v>
      </x:c>
      <x:c r="F77" s="20" t="n">
        <x:v>35</x:v>
      </x:c>
      <x:c r="G77" s="22" t="n">
        <x:v>2025</x:v>
      </x:c>
      <x:c r="H77" s="18" t="str">
        <x:v>Active users</x:v>
      </x:c>
      <x:c r="I77" s="18" t="str">
        <x:v>Sep-2025</x:v>
      </x:c>
      <x:c r="J77" s="18" t="str">
        <x:v>Current (≤4 years)</x:v>
      </x:c>
      <x:c r="K77" s="18" t="str">
        <x:v>A</x:v>
      </x:c>
      <x:c r="L77" s="18" t="str">
        <x:v>Official company source</x:v>
      </x:c>
      <x:c r="M77" s="18" t="str">
        <x:v>PAYBACK 2025 annual review</x:v>
      </x:c>
      <x:c r="N77" s="18" t="str">
        <x:v>PAYBACK 2025 annual review</x:v>
      </x:c>
      <x:c r="O77" s="18" t="str">
        <x:v>https://www.payback.group/en/press/press-releases/detail/balance-sheet-payback-achieves-new-user-and-collection-record</x:v>
      </x:c>
      <x:c r="P77" s="18" t="str"/>
    </x:row>
    <x:row r="78">
      <x:c r="A78" s="24" t="n">
        <x:f>COUNTIF($F$4:$F$148,"&gt;"&amp;F78)+1</x:f>
        <x:v>74</x:v>
      </x:c>
      <x:c r="B78" s="18" t="str">
        <x:v>Shell Fuel Rewards</x:v>
      </x:c>
      <x:c r="C78" s="18" t="str">
        <x:v>Shell USA / PDI Technologies</x:v>
      </x:c>
      <x:c r="D78" s="18" t="str">
        <x:v>Fuel &amp; convenience</x:v>
      </x:c>
      <x:c r="E78" s="18" t="str">
        <x:v>United States</x:v>
      </x:c>
      <x:c r="F78" s="20" t="n">
        <x:v>35</x:v>
      </x:c>
      <x:c r="G78" s="22" t="n">
        <x:v>2025</x:v>
      </x:c>
      <x:c r="H78" s="18" t="str">
        <x:v>Members</x:v>
      </x:c>
      <x:c r="I78" s="18" t="str">
        <x:v>Apr-2025</x:v>
      </x:c>
      <x:c r="J78" s="18" t="str">
        <x:v>Current (≤4 years)</x:v>
      </x:c>
      <x:c r="K78" s="18" t="str">
        <x:v>C</x:v>
      </x:c>
      <x:c r="L78" s="18" t="str">
        <x:v>2026 industry report with cited underlying source</x:v>
      </x:c>
      <x:c r="M78" s="18" t="str">
        <x:v>NACS</x:v>
      </x:c>
      <x:c r="N78" s="18" t="str">
        <x:v>The World's Largest Loyalty Programs (2026)</x:v>
      </x:c>
      <x:c r="O78" s="18" t="str">
        <x:v>https://retailtechinnovationhub.squarespace.com/s/Capillary-Edition-WLLP-Approved.pdf</x:v>
      </x:c>
      <x:c r="P78" s="18" t="str"/>
    </x:row>
    <x:row r="79">
      <x:c r="A79" s="24" t="n">
        <x:f>COUNTIF($F$4:$F$148,"&gt;"&amp;F79)+1</x:f>
        <x:v>76</x:v>
      </x:c>
      <x:c r="B79" s="18" t="str">
        <x:v>Xtra Savings</x:v>
      </x:c>
      <x:c r="C79" s="18" t="str">
        <x:v>Shoprite Holdings</x:v>
      </x:c>
      <x:c r="D79" s="18" t="str">
        <x:v>Retail &amp; grocery</x:v>
      </x:c>
      <x:c r="E79" s="18" t="str">
        <x:v>Southern Africa</x:v>
      </x:c>
      <x:c r="F79" s="20" t="n">
        <x:v>34</x:v>
      </x:c>
      <x:c r="G79" s="22" t="n">
        <x:v>2025</x:v>
      </x:c>
      <x:c r="H79" s="18" t="str">
        <x:v>Members</x:v>
      </x:c>
      <x:c r="I79" s="18" t="str">
        <x:v>Sep-2025</x:v>
      </x:c>
      <x:c r="J79" s="18" t="str">
        <x:v>Current (≤4 years)</x:v>
      </x:c>
      <x:c r="K79" s="18" t="str">
        <x:v>B</x:v>
      </x:c>
      <x:c r="L79" s="18" t="str">
        <x:v>2026 industry report with cited underlying source</x:v>
      </x:c>
      <x:c r="M79" s="18" t="str">
        <x:v>Shoprite press release</x:v>
      </x:c>
      <x:c r="N79" s="18" t="str">
        <x:v>The World's Largest Loyalty Programs (2026)</x:v>
      </x:c>
      <x:c r="O79" s="18" t="str">
        <x:v>https://retailtechinnovationhub.squarespace.com/s/Capillary-Edition-WLLP-Approved.pdf</x:v>
      </x:c>
      <x:c r="P79" s="18" t="str"/>
    </x:row>
    <x:row r="80">
      <x:c r="A80" s="24" t="n">
        <x:f>COUNTIF($F$4:$F$148,"&gt;"&amp;F80)+1</x:f>
        <x:v>77</x:v>
      </x:c>
      <x:c r="B80" s="18" t="str">
        <x:v>SpringPass</x:v>
      </x:c>
      <x:c r="C80" s="18" t="str">
        <x:v>Spring Airlines</x:v>
      </x:c>
      <x:c r="D80" s="18" t="str">
        <x:v>Airlines</x:v>
      </x:c>
      <x:c r="E80" s="18" t="str">
        <x:v>China / Asia</x:v>
      </x:c>
      <x:c r="F80" s="20" t="n">
        <x:v>33</x:v>
      </x:c>
      <x:c r="G80" s="22" t="n">
        <x:v>2023</x:v>
      </x:c>
      <x:c r="H80" s="18" t="str">
        <x:v>Members</x:v>
      </x:c>
      <x:c r="I80" s="18" t="str">
        <x:v>2024</x:v>
      </x:c>
      <x:c r="J80" s="18" t="str">
        <x:v>Current (≤4 years)</x:v>
      </x:c>
      <x:c r="K80" s="18" t="str">
        <x:v>B</x:v>
      </x:c>
      <x:c r="L80" s="18" t="str">
        <x:v>2024 airline industry report with cited underlying source</x:v>
      </x:c>
      <x:c r="M80" s="18" t="str">
        <x:v>Spring Airlines Annual Report 2023</x:v>
      </x:c>
      <x:c r="N80" s="18" t="str">
        <x:v>2024 Big Book of Airline Data</x:v>
      </x:c>
      <x:c r="O80" s="18" t="str">
        <x:v>https://ideaworkscompany.com/wp-content/uploads/2024/12/2024-Big-Book-of-Airline-Data-by-IdeaWorks-1.2.pdf</x:v>
      </x:c>
      <x:c r="P80" s="18" t="str"/>
    </x:row>
    <x:row r="81">
      <x:c r="A81" s="24" t="n">
        <x:f>COUNTIF($F$4:$F$148,"&gt;"&amp;F81)+1</x:f>
        <x:v>78</x:v>
      </x:c>
      <x:c r="B81" s="18" t="str">
        <x:v>GHA DISCOVERY</x:v>
      </x:c>
      <x:c r="C81" s="18" t="str">
        <x:v>Global Hotel Alliance</x:v>
      </x:c>
      <x:c r="D81" s="18" t="str">
        <x:v>Hotels</x:v>
      </x:c>
      <x:c r="E81" s="18" t="str">
        <x:v>Global</x:v>
      </x:c>
      <x:c r="F81" s="20" t="n">
        <x:v>32</x:v>
      </x:c>
      <x:c r="G81" s="22" t="n">
        <x:v>2025</x:v>
      </x:c>
      <x:c r="H81" s="18" t="str">
        <x:v>Members (over)</x:v>
      </x:c>
      <x:c r="I81" s="18" t="str">
        <x:v>Oct-2025</x:v>
      </x:c>
      <x:c r="J81" s="18" t="str">
        <x:v>Current (≤4 years)</x:v>
      </x:c>
      <x:c r="K81" s="18" t="str">
        <x:v>A</x:v>
      </x:c>
      <x:c r="L81" s="18" t="str">
        <x:v>Official company source</x:v>
      </x:c>
      <x:c r="M81" s="18" t="str">
        <x:v>GHA Q3 2025 performance release</x:v>
      </x:c>
      <x:c r="N81" s="18" t="str">
        <x:v>GHA Q3 2025 performance release</x:v>
      </x:c>
      <x:c r="O81" s="18" t="str">
        <x:v>https://www.ghadiscovery.com/content/download/273034/file/GLOBAL%20HOTEL%20ALLIANCE%20REPORTS%20SOLID%20Q3%20PERFORMANCE.pdf?inline=1&amp;version=1</x:v>
      </x:c>
      <x:c r="P81" s="18" t="str">
        <x:v>Alternative: 30m (Members, 2025, quality B)</x:v>
      </x:c>
    </x:row>
    <x:row r="82">
      <x:c r="A82" s="24" t="n">
        <x:f>COUNTIF($F$4:$F$148,"&gt;"&amp;F82)+1</x:f>
        <x:v>79</x:v>
      </x:c>
      <x:c r="B82" s="18" t="str">
        <x:v>Dunkin' Rewards</x:v>
      </x:c>
      <x:c r="C82" s="18" t="str">
        <x:v>Inspire Brands</x:v>
      </x:c>
      <x:c r="D82" s="18" t="str">
        <x:v>Restaurants &amp; QSR</x:v>
      </x:c>
      <x:c r="E82" s="18" t="str">
        <x:v>United States</x:v>
      </x:c>
      <x:c r="F82" s="20" t="n">
        <x:v>30</x:v>
      </x:c>
      <x:c r="G82" s="22" t="n">
        <x:v>2022</x:v>
      </x:c>
      <x:c r="H82" s="18" t="str">
        <x:v>Members</x:v>
      </x:c>
      <x:c r="I82" s="18" t="str">
        <x:v>Oct-2022</x:v>
      </x:c>
      <x:c r="J82" s="18" t="str">
        <x:v>Older than 4 years</x:v>
      </x:c>
      <x:c r="K82" s="18" t="str">
        <x:v>C</x:v>
      </x:c>
      <x:c r="L82" s="18" t="str">
        <x:v>2026 industry report with cited underlying source</x:v>
      </x:c>
      <x:c r="M82" s="18" t="str">
        <x:v>Restaurant Business</x:v>
      </x:c>
      <x:c r="N82" s="18" t="str">
        <x:v>The World's Largest Loyalty Programs (2026)</x:v>
      </x:c>
      <x:c r="O82" s="18" t="str">
        <x:v>https://retailtechinnovationhub.squarespace.com/s/Capillary-Edition-WLLP-Approved.pdf</x:v>
      </x:c>
      <x:c r="P82" s="18" t="str"/>
    </x:row>
    <x:row r="83">
      <x:c r="A83" s="24" t="n">
        <x:f>COUNTIF($F$4:$F$148,"&gt;"&amp;F83)+1</x:f>
        <x:v>79</x:v>
      </x:c>
      <x:c r="B83" s="18" t="str">
        <x:v>Flying Blue</x:v>
      </x:c>
      <x:c r="C83" s="18" t="str">
        <x:v>Air France-KLM</x:v>
      </x:c>
      <x:c r="D83" s="18" t="str">
        <x:v>Airlines</x:v>
      </x:c>
      <x:c r="E83" s="18" t="str">
        <x:v>Global</x:v>
      </x:c>
      <x:c r="F83" s="20" t="n">
        <x:v>30</x:v>
      </x:c>
      <x:c r="G83" s="22" t="n">
        <x:v>2025</x:v>
      </x:c>
      <x:c r="H83" s="18" t="str">
        <x:v>Members (over)</x:v>
      </x:c>
      <x:c r="I83" s="18" t="str">
        <x:v>Jun-2025</x:v>
      </x:c>
      <x:c r="J83" s="18" t="str">
        <x:v>Current (≤4 years)</x:v>
      </x:c>
      <x:c r="K83" s="18" t="str">
        <x:v>A</x:v>
      </x:c>
      <x:c r="L83" s="18" t="str">
        <x:v>Official company source</x:v>
      </x:c>
      <x:c r="M83" s="18" t="str">
        <x:v>Flying Blue company profile</x:v>
      </x:c>
      <x:c r="N83" s="18" t="str">
        <x:v>Flying Blue company profile</x:v>
      </x:c>
      <x:c r="O83" s="18" t="str">
        <x:v>https://www.airfranceklm.com/en/our-strengths/flying-blue-0</x:v>
      </x:c>
      <x:c r="P83" s="18" t="str">
        <x:v>Alternative: 30m (Members, 2025, quality B)</x:v>
      </x:c>
    </x:row>
    <x:row r="84">
      <x:c r="A84" s="24" t="n">
        <x:f>COUNTIF($F$4:$F$148,"&gt;"&amp;F84)+1</x:f>
        <x:v>79</x:v>
      </x:c>
      <x:c r="B84" s="18" t="str">
        <x:v>JD PLUS</x:v>
      </x:c>
      <x:c r="C84" s="18" t="str">
        <x:v>JD.com</x:v>
      </x:c>
      <x:c r="D84" s="18" t="str">
        <x:v>Paid membership &amp; e-commerce</x:v>
      </x:c>
      <x:c r="E84" s="18" t="str">
        <x:v>China</x:v>
      </x:c>
      <x:c r="F84" s="20" t="n">
        <x:v>30</x:v>
      </x:c>
      <x:c r="G84" s="22" t="n">
        <x:v>2022</x:v>
      </x:c>
      <x:c r="H84" s="18" t="str">
        <x:v>Paid members</x:v>
      </x:c>
      <x:c r="I84" s="18" t="str">
        <x:v>Aug-2022</x:v>
      </x:c>
      <x:c r="J84" s="18" t="str">
        <x:v>Older than 4 years</x:v>
      </x:c>
      <x:c r="K84" s="18" t="str">
        <x:v>B</x:v>
      </x:c>
      <x:c r="L84" s="18" t="str">
        <x:v>2026 industry report with cited underlying source</x:v>
      </x:c>
      <x:c r="M84" s="18" t="str">
        <x:v>JD.com blog</x:v>
      </x:c>
      <x:c r="N84" s="18" t="str">
        <x:v>The World's Largest Loyalty Programs (2026)</x:v>
      </x:c>
      <x:c r="O84" s="18" t="str">
        <x:v>https://retailtechinnovationhub.squarespace.com/s/Capillary-Edition-WLLP-Approved.pdf</x:v>
      </x:c>
      <x:c r="P84" s="18" t="str"/>
    </x:row>
    <x:row r="85">
      <x:c r="A85" s="24" t="n">
        <x:f>COUNTIF($F$4:$F$148,"&gt;"&amp;F85)+1</x:f>
        <x:v>79</x:v>
      </x:c>
      <x:c r="B85" s="18" t="str">
        <x:v>Mileage Plan</x:v>
      </x:c>
      <x:c r="C85" s="18" t="str">
        <x:v>Alaska Air Group</x:v>
      </x:c>
      <x:c r="D85" s="18" t="str">
        <x:v>Airlines</x:v>
      </x:c>
      <x:c r="E85" s="18" t="str">
        <x:v>North America</x:v>
      </x:c>
      <x:c r="F85" s="20" t="n">
        <x:v>30</x:v>
      </x:c>
      <x:c r="G85" s="22" t="n">
        <x:v>2023</x:v>
      </x:c>
      <x:c r="H85" s="18" t="str">
        <x:v>Members (estimate)</x:v>
      </x:c>
      <x:c r="I85" s="18" t="str">
        <x:v>2024</x:v>
      </x:c>
      <x:c r="J85" s="18" t="str">
        <x:v>Current (≤4 years)</x:v>
      </x:c>
      <x:c r="K85" s="18" t="str">
        <x:v>C</x:v>
      </x:c>
      <x:c r="L85" s="18" t="str">
        <x:v>2024 airline industry report with cited underlying source</x:v>
      </x:c>
      <x:c r="M85" s="18" t="str">
        <x:v>Alaska annual report plus IdeaWorks estimate</x:v>
      </x:c>
      <x:c r="N85" s="18" t="str">
        <x:v>2024 Big Book of Airline Data</x:v>
      </x:c>
      <x:c r="O85" s="18" t="str">
        <x:v>https://ideaworkscompany.com/wp-content/uploads/2024/12/2024-Big-Book-of-Airline-Data-by-IdeaWorks-1.2.pdf</x:v>
      </x:c>
      <x:c r="P85" s="18" t="str"/>
    </x:row>
    <x:row r="86">
      <x:c r="A86" s="24" t="n">
        <x:f>COUNTIF($F$4:$F$148,"&gt;"&amp;F86)+1</x:f>
        <x:v>79</x:v>
      </x:c>
      <x:c r="B86" s="18" t="str">
        <x:v>MyLowe's Rewards &amp; MVPs Pro Rewards</x:v>
      </x:c>
      <x:c r="C86" s="18" t="str">
        <x:v>Lowe's Companies</x:v>
      </x:c>
      <x:c r="D86" s="18" t="str">
        <x:v>Retail &amp; home improvement</x:v>
      </x:c>
      <x:c r="E86" s="18" t="str">
        <x:v>United States</x:v>
      </x:c>
      <x:c r="F86" s="20" t="n">
        <x:v>30</x:v>
      </x:c>
      <x:c r="G86" s="22" t="n">
        <x:v>2025</x:v>
      </x:c>
      <x:c r="H86" s="18" t="str">
        <x:v>Members</x:v>
      </x:c>
      <x:c r="I86" s="18" t="str">
        <x:v>May-2025</x:v>
      </x:c>
      <x:c r="J86" s="18" t="str">
        <x:v>Current (≤4 years)</x:v>
      </x:c>
      <x:c r="K86" s="18" t="str">
        <x:v>B</x:v>
      </x:c>
      <x:c r="L86" s="18" t="str">
        <x:v>2026 industry report with cited underlying source</x:v>
      </x:c>
      <x:c r="M86" s="18" t="str">
        <x:v>Lowe's Annual Report, p.4</x:v>
      </x:c>
      <x:c r="N86" s="18" t="str">
        <x:v>The World's Largest Loyalty Programs (2026)</x:v>
      </x:c>
      <x:c r="O86" s="18" t="str">
        <x:v>https://retailtechinnovationhub.squarespace.com/s/Capillary-Edition-WLLP-Approved.pdf</x:v>
      </x:c>
      <x:c r="P86" s="18" t="str"/>
    </x:row>
    <x:row r="87">
      <x:c r="A87" s="24" t="n">
        <x:f>COUNTIF($F$4:$F$148,"&gt;"&amp;F87)+1</x:f>
        <x:v>79</x:v>
      </x:c>
      <x:c r="B87" s="18" t="str">
        <x:v>Subway MVP Rewards</x:v>
      </x:c>
      <x:c r="C87" s="18" t="str">
        <x:v>Subway</x:v>
      </x:c>
      <x:c r="D87" s="18" t="str">
        <x:v>Restaurants &amp; QSR</x:v>
      </x:c>
      <x:c r="E87" s="18" t="str">
        <x:v>North America</x:v>
      </x:c>
      <x:c r="F87" s="20" t="n">
        <x:v>30</x:v>
      </x:c>
      <x:c r="G87" s="22" t="n">
        <x:v>2023</x:v>
      </x:c>
      <x:c r="H87" s="18" t="str">
        <x:v>Members</x:v>
      </x:c>
      <x:c r="I87" s="18" t="str">
        <x:v>Sep-2023</x:v>
      </x:c>
      <x:c r="J87" s="18" t="str">
        <x:v>Current (≤4 years)</x:v>
      </x:c>
      <x:c r="K87" s="18" t="str">
        <x:v>B</x:v>
      </x:c>
      <x:c r="L87" s="18" t="str">
        <x:v>2026 industry report with cited underlying source</x:v>
      </x:c>
      <x:c r="M87" s="18" t="str">
        <x:v>Subway press release</x:v>
      </x:c>
      <x:c r="N87" s="18" t="str">
        <x:v>The World's Largest Loyalty Programs (2026)</x:v>
      </x:c>
      <x:c r="O87" s="18" t="str">
        <x:v>https://retailtechinnovationhub.squarespace.com/s/Capillary-Edition-WLLP-Approved.pdf</x:v>
      </x:c>
      <x:c r="P87" s="18" t="str"/>
    </x:row>
    <x:row r="88">
      <x:c r="A88" s="24" t="n">
        <x:f>COUNTIF($F$4:$F$148,"&gt;"&amp;F88)+1</x:f>
        <x:v>85</x:v>
      </x:c>
      <x:c r="B88" s="18" t="str">
        <x:v>Ahold Delhaize USA loyalty programs</x:v>
      </x:c>
      <x:c r="C88" s="18" t="str">
        <x:v>Ahold Delhaize</x:v>
      </x:c>
      <x:c r="D88" s="18" t="str">
        <x:v>Retail &amp; grocery</x:v>
      </x:c>
      <x:c r="E88" s="18" t="str">
        <x:v>United States</x:v>
      </x:c>
      <x:c r="F88" s="20" t="n">
        <x:v>29</x:v>
      </x:c>
      <x:c r="G88" s="22" t="n">
        <x:v>2024</x:v>
      </x:c>
      <x:c r="H88" s="18" t="str">
        <x:v>Combined loyalty households / members</x:v>
      </x:c>
      <x:c r="I88" s="18" t="str">
        <x:v>Oct-2024</x:v>
      </x:c>
      <x:c r="J88" s="18" t="str">
        <x:v>Current (≤4 years)</x:v>
      </x:c>
      <x:c r="K88" s="18" t="str">
        <x:v>B</x:v>
      </x:c>
      <x:c r="L88" s="18" t="str">
        <x:v>2026 industry report with cited underlying source</x:v>
      </x:c>
      <x:c r="M88" s="18" t="str">
        <x:v>Ahold Delhaize Annual Report, pp.45–46</x:v>
      </x:c>
      <x:c r="N88" s="18" t="str">
        <x:v>The World's Largest Loyalty Programs (2026)</x:v>
      </x:c>
      <x:c r="O88" s="18" t="str">
        <x:v>https://retailtechinnovationhub.squarespace.com/s/Capillary-Edition-WLLP-Approved.pdf</x:v>
      </x:c>
      <x:c r="P88" s="18" t="str"/>
    </x:row>
    <x:row r="89">
      <x:c r="A89" s="24" t="n">
        <x:f>COUNTIF($F$4:$F$148,"&gt;"&amp;F89)+1</x:f>
        <x:v>85</x:v>
      </x:c>
      <x:c r="B89" s="18" t="str">
        <x:v>AirAsia rewards</x:v>
      </x:c>
      <x:c r="C89" s="18" t="str">
        <x:v>Capital A / AirAsia MOVE</x:v>
      </x:c>
      <x:c r="D89" s="18" t="str">
        <x:v>Airlines</x:v>
      </x:c>
      <x:c r="E89" s="18" t="str">
        <x:v>Asia-Pacific</x:v>
      </x:c>
      <x:c r="F89" s="20" t="n">
        <x:v>29</x:v>
      </x:c>
      <x:c r="G89" s="22" t="n">
        <x:v>2022</x:v>
      </x:c>
      <x:c r="H89" s="18" t="str">
        <x:v>Members</x:v>
      </x:c>
      <x:c r="I89" s="18" t="str">
        <x:v>2023</x:v>
      </x:c>
      <x:c r="J89" s="18" t="str">
        <x:v>Current (≤4 years)</x:v>
      </x:c>
      <x:c r="K89" s="18" t="str">
        <x:v>B</x:v>
      </x:c>
      <x:c r="L89" s="18" t="str">
        <x:v>2024 airline industry report with cited underlying source</x:v>
      </x:c>
      <x:c r="M89" s="18" t="str">
        <x:v>Capital A Annual Report 2022</x:v>
      </x:c>
      <x:c r="N89" s="18" t="str">
        <x:v>2024 Big Book of Airline Data</x:v>
      </x:c>
      <x:c r="O89" s="18" t="str">
        <x:v>https://ideaworkscompany.com/wp-content/uploads/2024/12/2024-Big-Book-of-Airline-Data-by-IdeaWorks-1.2.pdf</x:v>
      </x:c>
      <x:c r="P89" s="18" t="str">
        <x:v>Newer underlying figure than the older 36m disclosure in the global report. | Alternative: 36m (Members, 2019, quality B)</x:v>
      </x:c>
    </x:row>
    <x:row r="90">
      <x:c r="A90" s="24" t="n">
        <x:f>COUNTIF($F$4:$F$148,"&gt;"&amp;F90)+1</x:f>
        <x:v>87</x:v>
      </x:c>
      <x:c r="B90" s="18" t="str">
        <x:v>Nectar</x:v>
      </x:c>
      <x:c r="C90" s="18" t="str">
        <x:v>J Sainsbury plc</x:v>
      </x:c>
      <x:c r="D90" s="18" t="str">
        <x:v>Coalition &amp; points</x:v>
      </x:c>
      <x:c r="E90" s="18" t="str">
        <x:v>United Kingdom</x:v>
      </x:c>
      <x:c r="F90" s="20" t="n">
        <x:v>27</x:v>
      </x:c>
      <x:c r="G90" s="22" t="n">
        <x:v>2025</x:v>
      </x:c>
      <x:c r="H90" s="18" t="str">
        <x:v>Members</x:v>
      </x:c>
      <x:c r="I90" s="18" t="str">
        <x:v>Oct-2025</x:v>
      </x:c>
      <x:c r="J90" s="18" t="str">
        <x:v>Current (≤4 years)</x:v>
      </x:c>
      <x:c r="K90" s="18" t="str">
        <x:v>B</x:v>
      </x:c>
      <x:c r="L90" s="18" t="str">
        <x:v>2026 industry report with cited underlying source</x:v>
      </x:c>
      <x:c r="M90" s="18" t="str">
        <x:v>Nectar website</x:v>
      </x:c>
      <x:c r="N90" s="18" t="str">
        <x:v>The World's Largest Loyalty Programs (2026)</x:v>
      </x:c>
      <x:c r="O90" s="18" t="str">
        <x:v>https://retailtechinnovationhub.squarespace.com/s/Capillary-Edition-WLLP-Approved.pdf</x:v>
      </x:c>
      <x:c r="P90" s="18" t="str"/>
    </x:row>
    <x:row r="91">
      <x:c r="A91" s="24" t="n">
        <x:f>COUNTIF($F$4:$F$148,"&gt;"&amp;F91)+1</x:f>
        <x:v>87</x:v>
      </x:c>
      <x:c r="B91" s="18" t="str">
        <x:v>Radisson Rewards</x:v>
      </x:c>
      <x:c r="C91" s="18" t="str">
        <x:v>Radisson Hotel Group</x:v>
      </x:c>
      <x:c r="D91" s="18" t="str">
        <x:v>Hotels</x:v>
      </x:c>
      <x:c r="E91" s="18" t="str">
        <x:v>Global</x:v>
      </x:c>
      <x:c r="F91" s="20" t="n">
        <x:v>27</x:v>
      </x:c>
      <x:c r="G91" s="22" t="n">
        <x:v>2026</x:v>
      </x:c>
      <x:c r="H91" s="18" t="str">
        <x:v>Members (over)</x:v>
      </x:c>
      <x:c r="I91" s="18" t="str">
        <x:v>Feb-2026</x:v>
      </x:c>
      <x:c r="J91" s="18" t="str">
        <x:v>Current (≤4 years)</x:v>
      </x:c>
      <x:c r="K91" s="18" t="str">
        <x:v>A</x:v>
      </x:c>
      <x:c r="L91" s="18" t="str">
        <x:v>Official company source</x:v>
      </x:c>
      <x:c r="M91" s="18" t="str">
        <x:v>Radisson Rewards launches new partnerships</x:v>
      </x:c>
      <x:c r="N91" s="18" t="str">
        <x:v>Radisson Rewards launches new partnerships</x:v>
      </x:c>
      <x:c r="O91" s="18" t="str">
        <x:v>https://www.radissonhotels.com/en-us/corporate/media/press-releases/Radisson-Rewards-launches-a-raft-of-new-partnerships-to-benefit-its-27-million-plus-members</x:v>
      </x:c>
      <x:c r="P91" s="18" t="str"/>
    </x:row>
    <x:row r="92">
      <x:c r="A92" s="24" t="n">
        <x:f>COUNTIF($F$4:$F$148,"&gt;"&amp;F92)+1</x:f>
        <x:v>87</x:v>
      </x:c>
      <x:c r="B92" s="18" t="str">
        <x:v>Vodabucks</x:v>
      </x:c>
      <x:c r="C92" s="18" t="str">
        <x:v>Vodacom Group</x:v>
      </x:c>
      <x:c r="D92" s="18" t="str">
        <x:v>Telecom</x:v>
      </x:c>
      <x:c r="E92" s="18" t="str">
        <x:v>South Africa</x:v>
      </x:c>
      <x:c r="F92" s="20" t="n">
        <x:v>27</x:v>
      </x:c>
      <x:c r="G92" s="22" t="n">
        <x:v>2021</x:v>
      </x:c>
      <x:c r="H92" s="18" t="str">
        <x:v>Members</x:v>
      </x:c>
      <x:c r="I92" s="18" t="str">
        <x:v>Oct-2021</x:v>
      </x:c>
      <x:c r="J92" s="18" t="str">
        <x:v>Older than 4 years</x:v>
      </x:c>
      <x:c r="K92" s="18" t="str">
        <x:v>C</x:v>
      </x:c>
      <x:c r="L92" s="18" t="str">
        <x:v>2026 industry report with cited underlying source</x:v>
      </x:c>
      <x:c r="M92" s="18" t="str">
        <x:v>Company/trade article</x:v>
      </x:c>
      <x:c r="N92" s="18" t="str">
        <x:v>The World's Largest Loyalty Programs (2026)</x:v>
      </x:c>
      <x:c r="O92" s="18" t="str">
        <x:v>https://retailtechinnovationhub.squarespace.com/s/Capillary-Edition-WLLP-Approved.pdf</x:v>
      </x:c>
      <x:c r="P92" s="18" t="str">
        <x:v>Disclosure is older than four years.</x:v>
      </x:c>
    </x:row>
    <x:row r="93">
      <x:c r="A93" s="24" t="n">
        <x:f>COUNTIF($F$4:$F$148,"&gt;"&amp;F93)+1</x:f>
        <x:v>90</x:v>
      </x:c>
      <x:c r="B93" s="18" t="str">
        <x:v>REI Co-op Membership</x:v>
      </x:c>
      <x:c r="C93" s="18" t="str">
        <x:v>REI Co-op</x:v>
      </x:c>
      <x:c r="D93" s="18" t="str">
        <x:v>Membership &amp; services</x:v>
      </x:c>
      <x:c r="E93" s="18" t="str">
        <x:v>United States</x:v>
      </x:c>
      <x:c r="F93" s="20" t="n">
        <x:v>25</x:v>
      </x:c>
      <x:c r="G93" s="22" t="n">
        <x:v>2025</x:v>
      </x:c>
      <x:c r="H93" s="18" t="str">
        <x:v>Members</x:v>
      </x:c>
      <x:c r="I93" s="18" t="str">
        <x:v>Sep-2025</x:v>
      </x:c>
      <x:c r="J93" s="18" t="str">
        <x:v>Current (≤4 years)</x:v>
      </x:c>
      <x:c r="K93" s="18" t="str">
        <x:v>B</x:v>
      </x:c>
      <x:c r="L93" s="18" t="str">
        <x:v>2026 industry report with cited underlying source</x:v>
      </x:c>
      <x:c r="M93" s="18" t="str">
        <x:v>REI press release</x:v>
      </x:c>
      <x:c r="N93" s="18" t="str">
        <x:v>The World's Largest Loyalty Programs (2026)</x:v>
      </x:c>
      <x:c r="O93" s="18" t="str">
        <x:v>https://retailtechinnovationhub.squarespace.com/s/Capillary-Edition-WLLP-Approved.pdf</x:v>
      </x:c>
      <x:c r="P93" s="18" t="str"/>
    </x:row>
    <x:row r="94">
      <x:c r="A94" s="24" t="n">
        <x:f>COUNTIF($F$4:$F$148,"&gt;"&amp;F94)+1</x:f>
        <x:v>90</x:v>
      </x:c>
      <x:c r="B94" s="18" t="str">
        <x:v>ScoreCard</x:v>
      </x:c>
      <x:c r="C94" s="18" t="str">
        <x:v>DICK'S Sporting Goods</x:v>
      </x:c>
      <x:c r="D94" s="18" t="str">
        <x:v>Retail &amp; consumer brands</x:v>
      </x:c>
      <x:c r="E94" s="18" t="str">
        <x:v>United States</x:v>
      </x:c>
      <x:c r="F94" s="20" t="n">
        <x:v>25</x:v>
      </x:c>
      <x:c r="G94" s="22" t="n">
        <x:v>2024</x:v>
      </x:c>
      <x:c r="H94" s="18" t="str">
        <x:v>Members</x:v>
      </x:c>
      <x:c r="I94" s="18" t="str">
        <x:v>Dec-2024</x:v>
      </x:c>
      <x:c r="J94" s="18" t="str">
        <x:v>Current (≤4 years)</x:v>
      </x:c>
      <x:c r="K94" s="18" t="str">
        <x:v>B</x:v>
      </x:c>
      <x:c r="L94" s="18" t="str">
        <x:v>2026 industry report with cited underlying source</x:v>
      </x:c>
      <x:c r="M94" s="18" t="str">
        <x:v>DICK'S Annual Report, p.12</x:v>
      </x:c>
      <x:c r="N94" s="18" t="str">
        <x:v>The World's Largest Loyalty Programs (2026)</x:v>
      </x:c>
      <x:c r="O94" s="18" t="str">
        <x:v>https://retailtechinnovationhub.squarespace.com/s/Capillary-Edition-WLLP-Approved.pdf</x:v>
      </x:c>
      <x:c r="P94" s="18" t="str"/>
    </x:row>
    <x:row r="95">
      <x:c r="A95" s="24" t="n">
        <x:f>COUNTIF($F$4:$F$148,"&gt;"&amp;F95)+1</x:f>
        <x:v>92</x:v>
      </x:c>
      <x:c r="B95" s="18" t="str">
        <x:v>Tesco Clubcard</x:v>
      </x:c>
      <x:c r="C95" s="18" t="str">
        <x:v>Tesco</x:v>
      </x:c>
      <x:c r="D95" s="18" t="str">
        <x:v>Retail &amp; grocery</x:v>
      </x:c>
      <x:c r="E95" s="18" t="str">
        <x:v>United Kingdom</x:v>
      </x:c>
      <x:c r="F95" s="20" t="n">
        <x:v>24</x:v>
      </x:c>
      <x:c r="G95" s="22" t="n">
        <x:v>2025</x:v>
      </x:c>
      <x:c r="H95" s="18" t="str">
        <x:v>UK households with Clubcard</x:v>
      </x:c>
      <x:c r="I95" s="18" t="str">
        <x:v>Oct-2025</x:v>
      </x:c>
      <x:c r="J95" s="18" t="str">
        <x:v>Current (≤4 years)</x:v>
      </x:c>
      <x:c r="K95" s="18" t="str">
        <x:v>A</x:v>
      </x:c>
      <x:c r="L95" s="18" t="str">
        <x:v>Official company source</x:v>
      </x:c>
      <x:c r="M95" s="18" t="str">
        <x:v>Tesco Clubcard Unpacked 2025</x:v>
      </x:c>
      <x:c r="N95" s="18" t="str">
        <x:v>Tesco Clubcard Unpacked 2025</x:v>
      </x:c>
      <x:c r="O95" s="18" t="str">
        <x:v>https://www.tescoplc.com/tesco-s-clubcard-unpacked-2025-reveals-the-difference-between-london-and-the-rest-of-the-uk-and-it-s-bananas/</x:v>
      </x:c>
      <x:c r="P95" s="18" t="str">
        <x:v>Alternative: 24m (Households with Clubcard, 2025, quality B); Alternative: 24m (Households with Clubcard, 2025, quality A)</x:v>
      </x:c>
    </x:row>
    <x:row r="96">
      <x:c r="A96" s="24" t="n">
        <x:f>COUNTIF($F$4:$F$148,"&gt;"&amp;F96)+1</x:f>
        <x:v>93</x:v>
      </x:c>
      <x:c r="B96" s="18" t="str">
        <x:v>Smiles</x:v>
      </x:c>
      <x:c r="C96" s="18" t="str">
        <x:v>GOL Linhas Aéreas / Smiles</x:v>
      </x:c>
      <x:c r="D96" s="18" t="str">
        <x:v>Airlines</x:v>
      </x:c>
      <x:c r="E96" s="18" t="str">
        <x:v>Brazil / Global</x:v>
      </x:c>
      <x:c r="F96" s="20" t="n">
        <x:v>22.6</x:v>
      </x:c>
      <x:c r="G96" s="22" t="n">
        <x:v>2023</x:v>
      </x:c>
      <x:c r="H96" s="18" t="str">
        <x:v>Members</x:v>
      </x:c>
      <x:c r="I96" s="18" t="str">
        <x:v>2024</x:v>
      </x:c>
      <x:c r="J96" s="18" t="str">
        <x:v>Current (≤4 years)</x:v>
      </x:c>
      <x:c r="K96" s="18" t="str">
        <x:v>B</x:v>
      </x:c>
      <x:c r="L96" s="18" t="str">
        <x:v>2024 airline industry report with cited underlying source</x:v>
      </x:c>
      <x:c r="M96" s="18" t="str">
        <x:v>GOL Annual Report 2023</x:v>
      </x:c>
      <x:c r="N96" s="18" t="str">
        <x:v>2024 Big Book of Airline Data</x:v>
      </x:c>
      <x:c r="O96" s="18" t="str">
        <x:v>https://ideaworkscompany.com/wp-content/uploads/2024/12/2024-Big-Book-of-Airline-Data-by-IdeaWorks-1.2.pdf</x:v>
      </x:c>
      <x:c r="P96" s="18" t="str"/>
    </x:row>
    <x:row r="97">
      <x:c r="A97" s="24" t="n">
        <x:f>COUNTIF($F$4:$F$148,"&gt;"&amp;F97)+1</x:f>
        <x:v>94</x:v>
      </x:c>
      <x:c r="B97" s="18" t="str">
        <x:v>Flipkart Plus</x:v>
      </x:c>
      <x:c r="C97" s="18" t="str">
        <x:v>Flipkart / Walmart</x:v>
      </x:c>
      <x:c r="D97" s="18" t="str">
        <x:v>Paid membership &amp; e-commerce</x:v>
      </x:c>
      <x:c r="E97" s="18" t="str">
        <x:v>India</x:v>
      </x:c>
      <x:c r="F97" s="20" t="n">
        <x:v>20</x:v>
      </x:c>
      <x:c r="G97" s="22" t="n">
        <x:v>2021</x:v>
      </x:c>
      <x:c r="H97" s="18" t="str">
        <x:v>Members</x:v>
      </x:c>
      <x:c r="I97" s="18" t="str">
        <x:v>Aug-2021</x:v>
      </x:c>
      <x:c r="J97" s="18" t="str">
        <x:v>Older than 4 years</x:v>
      </x:c>
      <x:c r="K97" s="18" t="str">
        <x:v>C</x:v>
      </x:c>
      <x:c r="L97" s="18" t="str">
        <x:v>2026 industry report with cited underlying source</x:v>
      </x:c>
      <x:c r="M97" s="18" t="str">
        <x:v>Business Standard</x:v>
      </x:c>
      <x:c r="N97" s="18" t="str">
        <x:v>The World's Largest Loyalty Programs (2026)</x:v>
      </x:c>
      <x:c r="O97" s="18" t="str">
        <x:v>https://retailtechinnovationhub.squarespace.com/s/Capillary-Edition-WLLP-Approved.pdf</x:v>
      </x:c>
      <x:c r="P97" s="18" t="str">
        <x:v>Disclosure is older than four years.</x:v>
      </x:c>
    </x:row>
    <x:row r="98">
      <x:c r="A98" s="24" t="n">
        <x:f>COUNTIF($F$4:$F$148,"&gt;"&amp;F98)+1</x:f>
        <x:v>94</x:v>
      </x:c>
      <x:c r="B98" s="18" t="str">
        <x:v>M&amp;S Sparks</x:v>
      </x:c>
      <x:c r="C98" s="18" t="str">
        <x:v>Marks &amp; Spencer</x:v>
      </x:c>
      <x:c r="D98" s="18" t="str">
        <x:v>Retail &amp; grocery</x:v>
      </x:c>
      <x:c r="E98" s="18" t="str">
        <x:v>United Kingdom</x:v>
      </x:c>
      <x:c r="F98" s="20" t="n">
        <x:v>20</x:v>
      </x:c>
      <x:c r="G98" s="22" t="n">
        <x:v>2025</x:v>
      </x:c>
      <x:c r="H98" s="18" t="str">
        <x:v>Members</x:v>
      </x:c>
      <x:c r="I98" s="18" t="str">
        <x:v>Oct-2025</x:v>
      </x:c>
      <x:c r="J98" s="18" t="str">
        <x:v>Current (≤4 years)</x:v>
      </x:c>
      <x:c r="K98" s="18" t="str">
        <x:v>C</x:v>
      </x:c>
      <x:c r="L98" s="18" t="str">
        <x:v>2026 industry report with cited underlying source</x:v>
      </x:c>
      <x:c r="M98" s="18" t="str">
        <x:v>M&amp;S LinkedIn / company disclosure</x:v>
      </x:c>
      <x:c r="N98" s="18" t="str">
        <x:v>The World's Largest Loyalty Programs (2026)</x:v>
      </x:c>
      <x:c r="O98" s="18" t="str">
        <x:v>https://retailtechinnovationhub.squarespace.com/s/Capillary-Edition-WLLP-Approved.pdf</x:v>
      </x:c>
      <x:c r="P98" s="18" t="str"/>
    </x:row>
    <x:row r="99">
      <x:c r="A99" s="24" t="n">
        <x:f>COUNTIF($F$4:$F$148,"&gt;"&amp;F99)+1</x:f>
        <x:v>94</x:v>
      </x:c>
      <x:c r="B99" s="18" t="str">
        <x:v>Miles&amp;Smiles</x:v>
      </x:c>
      <x:c r="C99" s="18" t="str">
        <x:v>Turkish Airlines</x:v>
      </x:c>
      <x:c r="D99" s="18" t="str">
        <x:v>Airlines</x:v>
      </x:c>
      <x:c r="E99" s="18" t="str">
        <x:v>Global</x:v>
      </x:c>
      <x:c r="F99" s="20" t="n">
        <x:v>20</x:v>
      </x:c>
      <x:c r="G99" s="22" t="n">
        <x:v>2024</x:v>
      </x:c>
      <x:c r="H99" s="18" t="str">
        <x:v>Members</x:v>
      </x:c>
      <x:c r="I99" s="18" t="str">
        <x:v>Sep-2024</x:v>
      </x:c>
      <x:c r="J99" s="18" t="str">
        <x:v>Current (≤4 years)</x:v>
      </x:c>
      <x:c r="K99" s="18" t="str">
        <x:v>C</x:v>
      </x:c>
      <x:c r="L99" s="18" t="str">
        <x:v>2026 industry report with cited underlying source</x:v>
      </x:c>
      <x:c r="M99" s="18" t="str">
        <x:v>Australian Loyalty Association</x:v>
      </x:c>
      <x:c r="N99" s="18" t="str">
        <x:v>The World's Largest Loyalty Programs (2026)</x:v>
      </x:c>
      <x:c r="O99" s="18" t="str">
        <x:v>https://retailtechinnovationhub.squarespace.com/s/Capillary-Edition-WLLP-Approved.pdf</x:v>
      </x:c>
      <x:c r="P99" s="18" t="str"/>
    </x:row>
    <x:row r="100">
      <x:c r="A100" s="24" t="n">
        <x:f>COUNTIF($F$4:$F$148,"&gt;"&amp;F100)+1</x:f>
        <x:v>94</x:v>
      </x:c>
      <x:c r="B100" s="18" t="str">
        <x:v>XPLR Pass</x:v>
      </x:c>
      <x:c r="C100" s="18" t="str">
        <x:v>The North Face / VF Corporation</x:v>
      </x:c>
      <x:c r="D100" s="18" t="str">
        <x:v>Retail &amp; consumer brands</x:v>
      </x:c>
      <x:c r="E100" s="18" t="str">
        <x:v>North America</x:v>
      </x:c>
      <x:c r="F100" s="20" t="n">
        <x:v>20</x:v>
      </x:c>
      <x:c r="G100" s="22" t="n">
        <x:v>2023</x:v>
      </x:c>
      <x:c r="H100" s="18" t="str">
        <x:v>Members</x:v>
      </x:c>
      <x:c r="I100" s="18" t="str">
        <x:v>Dec-2023</x:v>
      </x:c>
      <x:c r="J100" s="18" t="str">
        <x:v>Current (≤4 years)</x:v>
      </x:c>
      <x:c r="K100" s="18" t="str">
        <x:v>C</x:v>
      </x:c>
      <x:c r="L100" s="18" t="str">
        <x:v>2026 industry report with cited underlying source</x:v>
      </x:c>
      <x:c r="M100" s="18" t="str">
        <x:v>Let's Talk Loyalty interview</x:v>
      </x:c>
      <x:c r="N100" s="18" t="str">
        <x:v>The World's Largest Loyalty Programs (2026)</x:v>
      </x:c>
      <x:c r="O100" s="18" t="str">
        <x:v>https://retailtechinnovationhub.squarespace.com/s/Capillary-Edition-WLLP-Approved.pdf</x:v>
      </x:c>
      <x:c r="P100" s="18" t="str"/>
    </x:row>
    <x:row r="101">
      <x:c r="A101" s="24" t="n">
        <x:f>COUNTIF($F$4:$F$148,"&gt;"&amp;F101)+1</x:f>
        <x:v>98</x:v>
      </x:c>
      <x:c r="B101" s="18" t="str">
        <x:v>Azul Fidelidade</x:v>
      </x:c>
      <x:c r="C101" s="18" t="str">
        <x:v>Azul S.A.</x:v>
      </x:c>
      <x:c r="D101" s="18" t="str">
        <x:v>Airlines</x:v>
      </x:c>
      <x:c r="E101" s="18" t="str">
        <x:v>Brazil / Global</x:v>
      </x:c>
      <x:c r="F101" s="20" t="n">
        <x:v>19</x:v>
      </x:c>
      <x:c r="G101" s="22" t="n">
        <x:v>2025</x:v>
      </x:c>
      <x:c r="H101" s="18" t="str">
        <x:v>Members</x:v>
      </x:c>
      <x:c r="I101" s="18" t="str">
        <x:v>May-2025</x:v>
      </x:c>
      <x:c r="J101" s="18" t="str">
        <x:v>Current (≤4 years)</x:v>
      </x:c>
      <x:c r="K101" s="18" t="str">
        <x:v>B</x:v>
      </x:c>
      <x:c r="L101" s="18" t="str">
        <x:v>2026 industry report with cited underlying source</x:v>
      </x:c>
      <x:c r="M101" s="18" t="str">
        <x:v>Azul Annual Report, p.2</x:v>
      </x:c>
      <x:c r="N101" s="18" t="str">
        <x:v>The World's Largest Loyalty Programs (2026)</x:v>
      </x:c>
      <x:c r="O101" s="18" t="str">
        <x:v>https://retailtechinnovationhub.squarespace.com/s/Capillary-Edition-WLLP-Approved.pdf</x:v>
      </x:c>
      <x:c r="P101" s="18" t="str">
        <x:v>Alternative: 17m (Members, 2023, quality B)</x:v>
      </x:c>
    </x:row>
    <x:row r="102">
      <x:c r="A102" s="24" t="n">
        <x:f>COUNTIF($F$4:$F$148,"&gt;"&amp;F102)+1</x:f>
        <x:v>98</x:v>
      </x:c>
      <x:c r="B102" s="18" t="str">
        <x:v>MeliáRewards</x:v>
      </x:c>
      <x:c r="C102" s="18" t="str">
        <x:v>Meliá Hotels International</x:v>
      </x:c>
      <x:c r="D102" s="18" t="str">
        <x:v>Hotels</x:v>
      </x:c>
      <x:c r="E102" s="18" t="str">
        <x:v>Global</x:v>
      </x:c>
      <x:c r="F102" s="20" t="n">
        <x:v>19</x:v>
      </x:c>
      <x:c r="G102" s="22" t="n">
        <x:v>2025</x:v>
      </x:c>
      <x:c r="H102" s="18" t="str">
        <x:v>Members (approaching)</x:v>
      </x:c>
      <x:c r="I102" s="18" t="str">
        <x:v>Feb-2026</x:v>
      </x:c>
      <x:c r="J102" s="18" t="str">
        <x:v>Current (≤4 years)</x:v>
      </x:c>
      <x:c r="K102" s="18" t="str">
        <x:v>A</x:v>
      </x:c>
      <x:c r="L102" s="18" t="str">
        <x:v>Official company source</x:v>
      </x:c>
      <x:c r="M102" s="18" t="str">
        <x:v>Meliá Hotels International FY2025 results</x:v>
      </x:c>
      <x:c r="N102" s="18" t="str">
        <x:v>Meliá Hotels International FY2025 results</x:v>
      </x:c>
      <x:c r="O102" s="18" t="str">
        <x:v>https://www.meliahotelsinternational.com/en/shareholdersAndInvestors/PublicDocs/2025/Q4%202025/MHI%20Release%2012M2025_EN.pdf</x:v>
      </x:c>
      <x:c r="P102" s="18" t="str"/>
    </x:row>
    <x:row r="103">
      <x:c r="A103" s="24" t="n">
        <x:f>COUNTIF($F$4:$F$148,"&gt;"&amp;F103)+1</x:f>
        <x:v>100</x:v>
      </x:c>
      <x:c r="B103" s="18" t="str">
        <x:v>PC Optimum</x:v>
      </x:c>
      <x:c r="C103" s="18" t="str">
        <x:v>Loblaw Companies</x:v>
      </x:c>
      <x:c r="D103" s="18" t="str">
        <x:v>Retail &amp; grocery</x:v>
      </x:c>
      <x:c r="E103" s="18" t="str">
        <x:v>Canada</x:v>
      </x:c>
      <x:c r="F103" s="20" t="n">
        <x:v>18</x:v>
      </x:c>
      <x:c r="G103" s="22" t="n">
        <x:v>2024</x:v>
      </x:c>
      <x:c r="H103" s="18" t="str">
        <x:v>Members (over)</x:v>
      </x:c>
      <x:c r="I103" s="18" t="str">
        <x:v>Feb-2024</x:v>
      </x:c>
      <x:c r="J103" s="18" t="str">
        <x:v>Current (≤4 years)</x:v>
      </x:c>
      <x:c r="K103" s="18" t="str">
        <x:v>A</x:v>
      </x:c>
      <x:c r="L103" s="18" t="str">
        <x:v>Official company source</x:v>
      </x:c>
      <x:c r="M103" s="18" t="str">
        <x:v>Loblaw to invest more than $2 billion in the Canadian economy</x:v>
      </x:c>
      <x:c r="N103" s="18" t="str">
        <x:v>Loblaw to invest more than $2 billion in the Canadian economy</x:v>
      </x:c>
      <x:c r="O103" s="18" t="str">
        <x:v>https://www.loblaw.ca/en/loblaw-to-invest-more-than-2-billion-in-the-canadian-economy-creating-thousands-of-jobs-and-opening-more-than-40-additional-stores/</x:v>
      </x:c>
      <x:c r="P103" s="18" t="str"/>
    </x:row>
    <x:row r="104">
      <x:c r="A104" s="24" t="n">
        <x:f>COUNTIF($F$4:$F$148,"&gt;"&amp;F104)+1</x:f>
        <x:v>100</x:v>
      </x:c>
      <x:c r="B104" s="18" t="str">
        <x:v>Qantas Frequent Flyer</x:v>
      </x:c>
      <x:c r="C104" s="18" t="str">
        <x:v>Qantas Airways</x:v>
      </x:c>
      <x:c r="D104" s="18" t="str">
        <x:v>Airlines</x:v>
      </x:c>
      <x:c r="E104" s="18" t="str">
        <x:v>Australia / Global</x:v>
      </x:c>
      <x:c r="F104" s="20" t="n">
        <x:v>18</x:v>
      </x:c>
      <x:c r="G104" s="22" t="n">
        <x:v>2025</x:v>
      </x:c>
      <x:c r="H104" s="18" t="str">
        <x:v>Members</x:v>
      </x:c>
      <x:c r="I104" s="18" t="str">
        <x:v>Aug-2025</x:v>
      </x:c>
      <x:c r="J104" s="18" t="str">
        <x:v>Current (≤4 years)</x:v>
      </x:c>
      <x:c r="K104" s="18" t="str">
        <x:v>B</x:v>
      </x:c>
      <x:c r="L104" s="18" t="str">
        <x:v>2026 industry report with cited underlying source</x:v>
      </x:c>
      <x:c r="M104" s="18" t="str">
        <x:v>Qantas Annual Report, p.26</x:v>
      </x:c>
      <x:c r="N104" s="18" t="str">
        <x:v>The World's Largest Loyalty Programs (2026)</x:v>
      </x:c>
      <x:c r="O104" s="18" t="str">
        <x:v>https://retailtechinnovationhub.squarespace.com/s/Capillary-Edition-WLLP-Approved.pdf</x:v>
      </x:c>
      <x:c r="P104" s="18" t="str">
        <x:v>Alternative: 15.2m (Members, 2023, quality B)</x:v>
      </x:c>
    </x:row>
    <x:row r="105">
      <x:c r="A105" s="24" t="n">
        <x:f>COUNTIF($F$4:$F$148,"&gt;"&amp;F105)+1</x:f>
        <x:v>102</x:v>
      </x:c>
      <x:c r="B105" s="18" t="str">
        <x:v>Allways Rewards</x:v>
      </x:c>
      <x:c r="C105" s="18" t="str">
        <x:v>Allegiant Travel Company</x:v>
      </x:c>
      <x:c r="D105" s="18" t="str">
        <x:v>Airlines</x:v>
      </x:c>
      <x:c r="E105" s="18" t="str">
        <x:v>United States</x:v>
      </x:c>
      <x:c r="F105" s="20" t="n">
        <x:v>17</x:v>
      </x:c>
      <x:c r="G105" s="22" t="n">
        <x:v>2023</x:v>
      </x:c>
      <x:c r="H105" s="18" t="str">
        <x:v>Members</x:v>
      </x:c>
      <x:c r="I105" s="18" t="str">
        <x:v>2024</x:v>
      </x:c>
      <x:c r="J105" s="18" t="str">
        <x:v>Current (≤4 years)</x:v>
      </x:c>
      <x:c r="K105" s="18" t="str">
        <x:v>B</x:v>
      </x:c>
      <x:c r="L105" s="18" t="str">
        <x:v>2024 airline industry report with cited underlying source</x:v>
      </x:c>
      <x:c r="M105" s="18" t="str">
        <x:v>Allegiant Annual Report 2023</x:v>
      </x:c>
      <x:c r="N105" s="18" t="str">
        <x:v>2024 Big Book of Airline Data</x:v>
      </x:c>
      <x:c r="O105" s="18" t="str">
        <x:v>https://ideaworkscompany.com/wp-content/uploads/2024/12/2024-Big-Book-of-Airline-Data-by-IdeaWorks-1.2.pdf</x:v>
      </x:c>
      <x:c r="P105" s="18" t="str"/>
    </x:row>
    <x:row r="106">
      <x:c r="A106" s="24" t="n">
        <x:f>COUNTIF($F$4:$F$148,"&gt;"&amp;F106)+1</x:f>
        <x:v>102</x:v>
      </x:c>
      <x:c r="B106" s="18" t="str">
        <x:v>Boots Advantage Card</x:v>
      </x:c>
      <x:c r="C106" s="18" t="str">
        <x:v>Walgreens Boots Alliance</x:v>
      </x:c>
      <x:c r="D106" s="18" t="str">
        <x:v>Retail &amp; pharmacy</x:v>
      </x:c>
      <x:c r="E106" s="18" t="str">
        <x:v>United Kingdom / Ireland</x:v>
      </x:c>
      <x:c r="F106" s="20" t="n">
        <x:v>17</x:v>
      </x:c>
      <x:c r="G106" s="22" t="n">
        <x:v>2025</x:v>
      </x:c>
      <x:c r="H106" s="18" t="str">
        <x:v>Members</x:v>
      </x:c>
      <x:c r="I106" s="18" t="str">
        <x:v>Jul-2025</x:v>
      </x:c>
      <x:c r="J106" s="18" t="str">
        <x:v>Current (≤4 years)</x:v>
      </x:c>
      <x:c r="K106" s="18" t="str">
        <x:v>B</x:v>
      </x:c>
      <x:c r="L106" s="18" t="str">
        <x:v>2026 industry report with cited underlying source</x:v>
      </x:c>
      <x:c r="M106" s="18" t="str">
        <x:v>Boots press release</x:v>
      </x:c>
      <x:c r="N106" s="18" t="str">
        <x:v>The World's Largest Loyalty Programs (2026)</x:v>
      </x:c>
      <x:c r="O106" s="18" t="str">
        <x:v>https://retailtechinnovationhub.squarespace.com/s/Capillary-Edition-WLLP-Approved.pdf</x:v>
      </x:c>
      <x:c r="P106" s="18" t="str"/>
    </x:row>
    <x:row r="107">
      <x:c r="A107" s="24" t="n">
        <x:f>COUNTIF($F$4:$F$148,"&gt;"&amp;F107)+1</x:f>
        <x:v>104</x:v>
      </x:c>
      <x:c r="B107" s="18" t="str">
        <x:v>Everyday Rewards</x:v>
      </x:c>
      <x:c r="C107" s="18" t="str">
        <x:v>Woolworths Group</x:v>
      </x:c>
      <x:c r="D107" s="18" t="str">
        <x:v>Retail &amp; grocery</x:v>
      </x:c>
      <x:c r="E107" s="18" t="str">
        <x:v>Australia / New Zealand</x:v>
      </x:c>
      <x:c r="F107" s="20" t="n">
        <x:v>14.5</x:v>
      </x:c>
      <x:c r="G107" s="22" t="n">
        <x:v>2023</x:v>
      </x:c>
      <x:c r="H107" s="18" t="str">
        <x:v>Registered members</x:v>
      </x:c>
      <x:c r="I107" s="18" t="str">
        <x:v>Aug-2023</x:v>
      </x:c>
      <x:c r="J107" s="18" t="str">
        <x:v>Current (≤4 years)</x:v>
      </x:c>
      <x:c r="K107" s="18" t="str">
        <x:v>A</x:v>
      </x:c>
      <x:c r="L107" s="18" t="str">
        <x:v>Official company source</x:v>
      </x:c>
      <x:c r="M107" s="18" t="str">
        <x:v>Woolworths Group FY2023 Profit Announcement</x:v>
      </x:c>
      <x:c r="N107" s="18" t="str">
        <x:v>Woolworths Group FY2023 Profit Announcement</x:v>
      </x:c>
      <x:c r="O107" s="18" t="str">
        <x:v>https://www.woolworthsgroup.com.au/content/dam/wwg/investors/reports/f23/full-year/Woolworths%20Group%20F23%20Profit%20Announcement.pdf</x:v>
      </x:c>
      <x:c r="P107" s="18" t="str">
        <x:v>Woolworths later reported 10.4m active members in FY2025; 14.5m is the registered-member figure.</x:v>
      </x:c>
    </x:row>
    <x:row r="108">
      <x:c r="A108" s="24" t="n">
        <x:f>COUNTIF($F$4:$F$148,"&gt;"&amp;F108)+1</x:f>
        <x:v>105</x:v>
      </x:c>
      <x:c r="B108" s="18" t="str">
        <x:v>Cathay / Asia Miles</x:v>
      </x:c>
      <x:c r="C108" s="18" t="str">
        <x:v>Cathay Pacific Airways</x:v>
      </x:c>
      <x:c r="D108" s="18" t="str">
        <x:v>Airlines</x:v>
      </x:c>
      <x:c r="E108" s="18" t="str">
        <x:v>Hong Kong / Global</x:v>
      </x:c>
      <x:c r="F108" s="20" t="n">
        <x:v>13</x:v>
      </x:c>
      <x:c r="G108" s="22" t="n">
        <x:v>2022</x:v>
      </x:c>
      <x:c r="H108" s="18" t="str">
        <x:v>Members</x:v>
      </x:c>
      <x:c r="I108" s="18" t="str">
        <x:v>2023</x:v>
      </x:c>
      <x:c r="J108" s="18" t="str">
        <x:v>Current (≤4 years)</x:v>
      </x:c>
      <x:c r="K108" s="18" t="str">
        <x:v>B</x:v>
      </x:c>
      <x:c r="L108" s="18" t="str">
        <x:v>2024 airline industry report with cited underlying source</x:v>
      </x:c>
      <x:c r="M108" s="18" t="str">
        <x:v>Cathay Annual Report 2022</x:v>
      </x:c>
      <x:c r="N108" s="18" t="str">
        <x:v>2024 Big Book of Airline Data</x:v>
      </x:c>
      <x:c r="O108" s="18" t="str">
        <x:v>https://ideaworkscompany.com/wp-content/uploads/2024/12/2024-Big-Book-of-Airline-Data-by-IdeaWorks-1.2.pdf</x:v>
      </x:c>
      <x:c r="P108" s="18" t="str"/>
    </x:row>
    <x:row r="109">
      <x:c r="A109" s="24" t="n">
        <x:f>COUNTIF($F$4:$F$148,"&gt;"&amp;F109)+1</x:f>
        <x:v>106</x:v>
      </x:c>
      <x:c r="B109" s="18" t="str">
        <x:v>LifeMiles</x:v>
      </x:c>
      <x:c r="C109" s="18" t="str">
        <x:v>Avianca Group</x:v>
      </x:c>
      <x:c r="D109" s="18" t="str">
        <x:v>Airlines</x:v>
      </x:c>
      <x:c r="E109" s="18" t="str">
        <x:v>Latin America / Global</x:v>
      </x:c>
      <x:c r="F109" s="20" t="n">
        <x:v>12.5</x:v>
      </x:c>
      <x:c r="G109" s="22" t="n">
        <x:v>2023</x:v>
      </x:c>
      <x:c r="H109" s="18" t="str">
        <x:v>Members</x:v>
      </x:c>
      <x:c r="I109" s="18" t="str">
        <x:v>2024</x:v>
      </x:c>
      <x:c r="J109" s="18" t="str">
        <x:v>Current (≤4 years)</x:v>
      </x:c>
      <x:c r="K109" s="18" t="str">
        <x:v>B</x:v>
      </x:c>
      <x:c r="L109" s="18" t="str">
        <x:v>2024 airline industry report with cited underlying source</x:v>
      </x:c>
      <x:c r="M109" s="18" t="str">
        <x:v>Avianca Annual Report 2023</x:v>
      </x:c>
      <x:c r="N109" s="18" t="str">
        <x:v>2024 Big Book of Airline Data</x:v>
      </x:c>
      <x:c r="O109" s="18" t="str">
        <x:v>https://ideaworkscompany.com/wp-content/uploads/2024/12/2024-Big-Book-of-Airline-Data-by-IdeaWorks-1.2.pdf</x:v>
      </x:c>
      <x:c r="P109" s="18" t="str"/>
    </x:row>
    <x:row r="110">
      <x:c r="A110" s="24" t="n">
        <x:f>COUNTIF($F$4:$F$148,"&gt;"&amp;F110)+1</x:f>
        <x:v>107</x:v>
      </x:c>
      <x:c r="B110" s="18" t="str">
        <x:v>Aeroflot Bonus</x:v>
      </x:c>
      <x:c r="C110" s="18" t="str">
        <x:v>Aeroflot Group</x:v>
      </x:c>
      <x:c r="D110" s="18" t="str">
        <x:v>Airlines</x:v>
      </x:c>
      <x:c r="E110" s="18" t="str">
        <x:v>Russia / Global</x:v>
      </x:c>
      <x:c r="F110" s="20" t="n">
        <x:v>12.4</x:v>
      </x:c>
      <x:c r="G110" s="22" t="n">
        <x:v>2023</x:v>
      </x:c>
      <x:c r="H110" s="18" t="str">
        <x:v>Members</x:v>
      </x:c>
      <x:c r="I110" s="18" t="str">
        <x:v>2024</x:v>
      </x:c>
      <x:c r="J110" s="18" t="str">
        <x:v>Current (≤4 years)</x:v>
      </x:c>
      <x:c r="K110" s="18" t="str">
        <x:v>B</x:v>
      </x:c>
      <x:c r="L110" s="18" t="str">
        <x:v>2024 airline industry report with cited underlying source</x:v>
      </x:c>
      <x:c r="M110" s="18" t="str">
        <x:v>Aeroflot Annual Report 2023</x:v>
      </x:c>
      <x:c r="N110" s="18" t="str">
        <x:v>2024 Big Book of Airline Data</x:v>
      </x:c>
      <x:c r="O110" s="18" t="str">
        <x:v>https://ideaworkscompany.com/wp-content/uploads/2024/12/2024-Big-Book-of-Airline-Data-by-IdeaWorks-1.2.pdf</x:v>
      </x:c>
      <x:c r="P110" s="18" t="str"/>
    </x:row>
    <x:row r="111">
      <x:c r="A111" s="24" t="n">
        <x:f>COUNTIF($F$4:$F$148,"&gt;"&amp;F111)+1</x:f>
        <x:v>108</x:v>
      </x:c>
      <x:c r="B111" s="18" t="str">
        <x:v>HawaiianMiles</x:v>
      </x:c>
      <x:c r="C111" s="18" t="str">
        <x:v>Alaska Air Group / Hawaiian Airlines</x:v>
      </x:c>
      <x:c r="D111" s="18" t="str">
        <x:v>Airlines</x:v>
      </x:c>
      <x:c r="E111" s="18" t="str">
        <x:v>Hawaii / North America</x:v>
      </x:c>
      <x:c r="F111" s="20" t="n">
        <x:v>12.3</x:v>
      </x:c>
      <x:c r="G111" s="22" t="n">
        <x:v>2023</x:v>
      </x:c>
      <x:c r="H111" s="18" t="str">
        <x:v>Members</x:v>
      </x:c>
      <x:c r="I111" s="18" t="str">
        <x:v>2024</x:v>
      </x:c>
      <x:c r="J111" s="18" t="str">
        <x:v>Current (≤4 years)</x:v>
      </x:c>
      <x:c r="K111" s="18" t="str">
        <x:v>B</x:v>
      </x:c>
      <x:c r="L111" s="18" t="str">
        <x:v>2024 airline industry report with cited underlying source</x:v>
      </x:c>
      <x:c r="M111" s="18" t="str">
        <x:v>Hawaiian Annual Report 2023</x:v>
      </x:c>
      <x:c r="N111" s="18" t="str">
        <x:v>2024 Big Book of Airline Data</x:v>
      </x:c>
      <x:c r="O111" s="18" t="str">
        <x:v>https://ideaworkscompany.com/wp-content/uploads/2024/12/2024-Big-Book-of-Airline-Data-by-IdeaWorks-1.2.pdf</x:v>
      </x:c>
      <x:c r="P111" s="18" t="str"/>
    </x:row>
    <x:row r="112">
      <x:c r="A112" s="24" t="n">
        <x:f>COUNTIF($F$4:$F$148,"&gt;"&amp;F112)+1</x:f>
        <x:v>109</x:v>
      </x:c>
      <x:c r="B112" s="18" t="str">
        <x:v>Tims China loyalty club</x:v>
      </x:c>
      <x:c r="C112" s="18" t="str">
        <x:v>TH International / Tim Hortons China</x:v>
      </x:c>
      <x:c r="D112" s="18" t="str">
        <x:v>Restaurants &amp; QSR</x:v>
      </x:c>
      <x:c r="E112" s="18" t="str">
        <x:v>China</x:v>
      </x:c>
      <x:c r="F112" s="20" t="n">
        <x:v>12</x:v>
      </x:c>
      <x:c r="G112" s="22" t="n">
        <x:v>2023</x:v>
      </x:c>
      <x:c r="H112" s="18" t="str">
        <x:v>Loyalty club members (over)</x:v>
      </x:c>
      <x:c r="I112" s="18" t="str">
        <x:v>Mar-2023</x:v>
      </x:c>
      <x:c r="J112" s="18" t="str">
        <x:v>Current (≤4 years)</x:v>
      </x:c>
      <x:c r="K112" s="18" t="str">
        <x:v>A</x:v>
      </x:c>
      <x:c r="L112" s="18" t="str">
        <x:v>Official company source</x:v>
      </x:c>
      <x:c r="M112" s="18" t="str">
        <x:v>Tims China announces addition of Popeyes</x:v>
      </x:c>
      <x:c r="N112" s="18" t="str">
        <x:v>Tims China announces addition of Popeyes</x:v>
      </x:c>
      <x:c r="O112" s="18" t="str">
        <x:v>https://www.rbi.com/English/news/news-details/2023/Tims-China-Announces-Addition-of-Popeyes-Chicken-Brand/default.aspx</x:v>
      </x:c>
      <x:c r="P112" s="18" t="str"/>
    </x:row>
    <x:row r="113">
      <x:c r="A113" s="24" t="n">
        <x:f>COUNTIF($F$4:$F$148,"&gt;"&amp;F113)+1</x:f>
        <x:v>109</x:v>
      </x:c>
      <x:c r="B113" s="18" t="str">
        <x:v>Triangle Rewards</x:v>
      </x:c>
      <x:c r="C113" s="18" t="str">
        <x:v>Canadian Tire Corporation</x:v>
      </x:c>
      <x:c r="D113" s="18" t="str">
        <x:v>Coalition &amp; retail</x:v>
      </x:c>
      <x:c r="E113" s="18" t="str">
        <x:v>Canada</x:v>
      </x:c>
      <x:c r="F113" s="20" t="n">
        <x:v>12</x:v>
      </x:c>
      <x:c r="G113" s="22" t="n">
        <x:v>2026</x:v>
      </x:c>
      <x:c r="H113" s="18" t="str">
        <x:v>Members (over)</x:v>
      </x:c>
      <x:c r="I113" s="18" t="str">
        <x:v>Mar-2026</x:v>
      </x:c>
      <x:c r="J113" s="18" t="str">
        <x:v>Current (≤4 years)</x:v>
      </x:c>
      <x:c r="K113" s="18" t="str">
        <x:v>A</x:v>
      </x:c>
      <x:c r="L113" s="18" t="str">
        <x:v>Official company source</x:v>
      </x:c>
      <x:c r="M113" s="18" t="str">
        <x:v>Canadian Tire and WestJet loyalty partnership</x:v>
      </x:c>
      <x:c r="N113" s="18" t="str">
        <x:v>Canadian Tire and WestJet loyalty partnership</x:v>
      </x:c>
      <x:c r="O113" s="18" t="str">
        <x:v>https://corp.canadiantire.ca/English/media/news-releases/press-release-details/2026/Canadians-can-now-spend-once-and-earn-twice-with-innovative-Canadian-Tire-Corporation-and-WestJet-loyalty-partnership/default.aspx</x:v>
      </x:c>
      <x:c r="P113" s="18" t="str">
        <x:v>Canadian Tire reported 9.8m active registered members in FY2025 results; 12m is total membership.</x:v>
      </x:c>
    </x:row>
    <x:row r="114">
      <x:c r="A114" s="24" t="n">
        <x:f>COUNTIF($F$4:$F$148,"&gt;"&amp;F114)+1</x:f>
        <x:v>109</x:v>
      </x:c>
      <x:c r="B114" s="18" t="str">
        <x:v>TrueBlue</x:v>
      </x:c>
      <x:c r="C114" s="18" t="str">
        <x:v>JetBlue Airways</x:v>
      </x:c>
      <x:c r="D114" s="18" t="str">
        <x:v>Airlines</x:v>
      </x:c>
      <x:c r="E114" s="18" t="str">
        <x:v>North America</x:v>
      </x:c>
      <x:c r="F114" s="20" t="n">
        <x:v>12</x:v>
      </x:c>
      <x:c r="G114" s="22" t="n">
        <x:v>2018</x:v>
      </x:c>
      <x:c r="H114" s="18" t="str">
        <x:v>Members</x:v>
      </x:c>
      <x:c r="I114" s="18" t="str">
        <x:v>2018</x:v>
      </x:c>
      <x:c r="J114" s="18" t="str">
        <x:v>Older than 4 years</x:v>
      </x:c>
      <x:c r="K114" s="18" t="str">
        <x:v>C</x:v>
      </x:c>
      <x:c r="L114" s="18" t="str">
        <x:v>2024 airline industry report with cited underlying source</x:v>
      </x:c>
      <x:c r="M114" s="18" t="str">
        <x:v>JetBlue fact sheet 2018</x:v>
      </x:c>
      <x:c r="N114" s="18" t="str">
        <x:v>2024 Big Book of Airline Data</x:v>
      </x:c>
      <x:c r="O114" s="18" t="str">
        <x:v>https://ideaworkscompany.com/wp-content/uploads/2024/12/2024-Big-Book-of-Airline-Data-by-IdeaWorks-1.2.pdf</x:v>
      </x:c>
      <x:c r="P114" s="18" t="str">
        <x:v>Disclosure is substantially older than four years.</x:v>
      </x:c>
    </x:row>
    <x:row r="115">
      <x:c r="A115" s="24" t="n">
        <x:f>COUNTIF($F$4:$F$148,"&gt;"&amp;F115)+1</x:f>
        <x:v>109</x:v>
      </x:c>
      <x:c r="B115" s="18" t="str">
        <x:v>Velocity Frequent Flyer</x:v>
      </x:c>
      <x:c r="C115" s="18" t="str">
        <x:v>Virgin Australia</x:v>
      </x:c>
      <x:c r="D115" s="18" t="str">
        <x:v>Airlines</x:v>
      </x:c>
      <x:c r="E115" s="18" t="str">
        <x:v>Australia / Global</x:v>
      </x:c>
      <x:c r="F115" s="20" t="n">
        <x:v>12</x:v>
      </x:c>
      <x:c r="G115" s="22" t="n">
        <x:v>2024</x:v>
      </x:c>
      <x:c r="H115" s="18" t="str">
        <x:v>Members (over)</x:v>
      </x:c>
      <x:c r="I115" s="18" t="str">
        <x:v>Oct-2024</x:v>
      </x:c>
      <x:c r="J115" s="18" t="str">
        <x:v>Current (≤4 years)</x:v>
      </x:c>
      <x:c r="K115" s="18" t="str">
        <x:v>A</x:v>
      </x:c>
      <x:c r="L115" s="18" t="str">
        <x:v>Official company source</x:v>
      </x:c>
      <x:c r="M115" s="18" t="str">
        <x:v>Virgin Australia FY2024 results</x:v>
      </x:c>
      <x:c r="N115" s="18" t="str">
        <x:v>Virgin Australia FY2024 results</x:v>
      </x:c>
      <x:c r="O115" s="18" t="str">
        <x:v>https://www.virginaustralia.com/uk/en/newsroom/2024/10/virgin-australia-delivers-strong-fy24-results-driven-ongoing-transformation/</x:v>
      </x:c>
      <x:c r="P115" s="18" t="str">
        <x:v>Alternative: 11.5m (Members, 2023, quality B)</x:v>
      </x:c>
    </x:row>
    <x:row r="116">
      <x:c r="A116" s="24" t="n">
        <x:f>COUNTIF($F$4:$F$148,"&gt;"&amp;F116)+1</x:f>
        <x:v>113</x:v>
      </x:c>
      <x:c r="B116" s="18" t="str">
        <x:v>BolBol</x:v>
      </x:c>
      <x:c r="C116" s="18" t="str">
        <x:v>Pegasus Airlines</x:v>
      </x:c>
      <x:c r="D116" s="18" t="str">
        <x:v>Airlines</x:v>
      </x:c>
      <x:c r="E116" s="18" t="str">
        <x:v>Turkey / Europe</x:v>
      </x:c>
      <x:c r="F116" s="20" t="n">
        <x:v>10.596909</x:v>
      </x:c>
      <x:c r="G116" s="22" t="n">
        <x:v>2022</x:v>
      </x:c>
      <x:c r="H116" s="18" t="str">
        <x:v>Members</x:v>
      </x:c>
      <x:c r="I116" s="18" t="str">
        <x:v>2023</x:v>
      </x:c>
      <x:c r="J116" s="18" t="str">
        <x:v>Current (≤4 years)</x:v>
      </x:c>
      <x:c r="K116" s="18" t="str">
        <x:v>B</x:v>
      </x:c>
      <x:c r="L116" s="18" t="str">
        <x:v>2024 airline industry report with cited underlying source</x:v>
      </x:c>
      <x:c r="M116" s="18" t="str">
        <x:v>Pegasus company disclosure 2022</x:v>
      </x:c>
      <x:c r="N116" s="18" t="str">
        <x:v>2024 Big Book of Airline Data</x:v>
      </x:c>
      <x:c r="O116" s="18" t="str">
        <x:v>https://ideaworkscompany.com/wp-content/uploads/2024/12/2024-Big-Book-of-Airline-Data-by-IdeaWorks-1.2.pdf</x:v>
      </x:c>
      <x:c r="P116" s="18" t="str"/>
    </x:row>
    <x:row r="117">
      <x:c r="A117" s="24" t="n">
        <x:f>COUNTIF($F$4:$F$148,"&gt;"&amp;F117)+1</x:f>
        <x:v>114</x:v>
      </x:c>
      <x:c r="B117" s="18" t="str">
        <x:v>Aeroméxico Rewards</x:v>
      </x:c>
      <x:c r="C117" s="18" t="str">
        <x:v>Grupo Aeroméxico</x:v>
      </x:c>
      <x:c r="D117" s="18" t="str">
        <x:v>Airlines</x:v>
      </x:c>
      <x:c r="E117" s="18" t="str">
        <x:v>Mexico / Global</x:v>
      </x:c>
      <x:c r="F117" s="20" t="n">
        <x:v>10</x:v>
      </x:c>
      <x:c r="G117" s="22" t="n">
        <x:v>2024</x:v>
      </x:c>
      <x:c r="H117" s="18" t="str">
        <x:v>Members</x:v>
      </x:c>
      <x:c r="I117" s="18" t="str">
        <x:v>2024</x:v>
      </x:c>
      <x:c r="J117" s="18" t="str">
        <x:v>Current (≤4 years)</x:v>
      </x:c>
      <x:c r="K117" s="18" t="str">
        <x:v>B</x:v>
      </x:c>
      <x:c r="L117" s="18" t="str">
        <x:v>2024 airline industry report with cited underlying source</x:v>
      </x:c>
      <x:c r="M117" s="18" t="str">
        <x:v>Aeroméxico 2024 IPO filing</x:v>
      </x:c>
      <x:c r="N117" s="18" t="str">
        <x:v>2024 Big Book of Airline Data</x:v>
      </x:c>
      <x:c r="O117" s="18" t="str">
        <x:v>https://ideaworkscompany.com/wp-content/uploads/2024/12/2024-Big-Book-of-Airline-Data-by-IdeaWorks-1.2.pdf</x:v>
      </x:c>
      <x:c r="P117" s="18" t="str"/>
    </x:row>
    <x:row r="118">
      <x:c r="A118" s="24" t="n">
        <x:f>COUNTIF($F$4:$F$148,"&gt;"&amp;F118)+1</x:f>
        <x:v>114</x:v>
      </x:c>
      <x:c r="B118" s="18" t="str">
        <x:v>Aeroplan</x:v>
      </x:c>
      <x:c r="C118" s="18" t="str">
        <x:v>Air Canada</x:v>
      </x:c>
      <x:c r="D118" s="18" t="str">
        <x:v>Airlines</x:v>
      </x:c>
      <x:c r="E118" s="18" t="str">
        <x:v>Global</x:v>
      </x:c>
      <x:c r="F118" s="20" t="n">
        <x:v>10</x:v>
      </x:c>
      <x:c r="G118" s="22" t="n">
        <x:v>2025</x:v>
      </x:c>
      <x:c r="H118" s="18" t="str">
        <x:v>Members (over)</x:v>
      </x:c>
      <x:c r="I118" s="18" t="str">
        <x:v>2025</x:v>
      </x:c>
      <x:c r="J118" s="18" t="str">
        <x:v>Current (≤4 years)</x:v>
      </x:c>
      <x:c r="K118" s="18" t="str">
        <x:v>A</x:v>
      </x:c>
      <x:c r="L118" s="18" t="str">
        <x:v>Company press release</x:v>
      </x:c>
      <x:c r="M118" s="18" t="str">
        <x:v>Air Canada 2025 results / company boilerplate</x:v>
      </x:c>
      <x:c r="N118" s="18" t="str">
        <x:v>Air Canada 2025 results / company boilerplate</x:v>
      </x:c>
      <x:c r="O118" s="18" t="str">
        <x:v>https://www.aircanada.com/media/air-canada-provides-third-quarter-2025-estimated-results-and-updated-full-year-2025-guidance/</x:v>
      </x:c>
      <x:c r="P118" s="18" t="str">
        <x:v>Alternative: 10m (Active and engaged members (over), 2025, quality A); Alternative: 8m (Members, 2023, quality B)</x:v>
      </x:c>
    </x:row>
    <x:row r="119">
      <x:c r="A119" s="24" t="n">
        <x:f>COUNTIF($F$4:$F$148,"&gt;"&amp;F119)+1</x:f>
        <x:v>114</x:v>
      </x:c>
      <x:c r="B119" s="18" t="str">
        <x:v>Etihad Guest</x:v>
      </x:c>
      <x:c r="C119" s="18" t="str">
        <x:v>Etihad Airways</x:v>
      </x:c>
      <x:c r="D119" s="18" t="str">
        <x:v>Airlines</x:v>
      </x:c>
      <x:c r="E119" s="18" t="str">
        <x:v>Global</x:v>
      </x:c>
      <x:c r="F119" s="20" t="n">
        <x:v>10</x:v>
      </x:c>
      <x:c r="G119" s="22" t="n">
        <x:v>2024</x:v>
      </x:c>
      <x:c r="H119" s="18" t="str">
        <x:v>Members</x:v>
      </x:c>
      <x:c r="I119" s="18" t="str">
        <x:v>2024</x:v>
      </x:c>
      <x:c r="J119" s="18" t="str">
        <x:v>Current (≤4 years)</x:v>
      </x:c>
      <x:c r="K119" s="18" t="str">
        <x:v>B</x:v>
      </x:c>
      <x:c r="L119" s="18" t="str">
        <x:v>2024 airline industry report with cited underlying source</x:v>
      </x:c>
      <x:c r="M119" s="18" t="str">
        <x:v>Etihad press release, Jul 2024</x:v>
      </x:c>
      <x:c r="N119" s="18" t="str">
        <x:v>2024 Big Book of Airline Data</x:v>
      </x:c>
      <x:c r="O119" s="18" t="str">
        <x:v>https://ideaworkscompany.com/wp-content/uploads/2024/12/2024-Big-Book-of-Airline-Data-by-IdeaWorks-1.2.pdf</x:v>
      </x:c>
      <x:c r="P119" s="18" t="str"/>
    </x:row>
    <x:row r="120">
      <x:c r="A120" s="24" t="n">
        <x:f>COUNTIF($F$4:$F$148,"&gt;"&amp;F120)+1</x:f>
        <x:v>117</x:v>
      </x:c>
      <x:c r="B120" s="18" t="str">
        <x:v>Flybuys Australia</x:v>
      </x:c>
      <x:c r="C120" s="18" t="str">
        <x:v>Flybuys / Coles and Wesfarmers</x:v>
      </x:c>
      <x:c r="D120" s="18" t="str">
        <x:v>Coalition &amp; points</x:v>
      </x:c>
      <x:c r="E120" s="18" t="str">
        <x:v>Australia</x:v>
      </x:c>
      <x:c r="F120" s="20" t="n">
        <x:v>9.5</x:v>
      </x:c>
      <x:c r="G120" s="22" t="n">
        <x:v>2024</x:v>
      </x:c>
      <x:c r="H120" s="18" t="str">
        <x:v>Members (over)</x:v>
      </x:c>
      <x:c r="I120" s="18" t="str">
        <x:v>Dec-2024</x:v>
      </x:c>
      <x:c r="J120" s="18" t="str">
        <x:v>Current (≤4 years)</x:v>
      </x:c>
      <x:c r="K120" s="18" t="str">
        <x:v>A</x:v>
      </x:c>
      <x:c r="L120" s="18" t="str">
        <x:v>Official company source</x:v>
      </x:c>
      <x:c r="M120" s="18" t="str">
        <x:v>Flybuys Modern Slavery Statement 2024</x:v>
      </x:c>
      <x:c r="N120" s="18" t="str">
        <x:v>Flybuys Modern Slavery Statement 2024</x:v>
      </x:c>
      <x:c r="O120" s="18" t="str">
        <x:v>https://modernslaveryregister.gov.au/statements/zocPHKj93MjJKDf/pdf/</x:v>
      </x:c>
      <x:c r="P120" s="18" t="str"/>
    </x:row>
    <x:row r="121">
      <x:c r="A121" s="24" t="n">
        <x:f>COUNTIF($F$4:$F$148,"&gt;"&amp;F121)+1</x:f>
        <x:v>118</x:v>
      </x:c>
      <x:c r="B121" s="18" t="str">
        <x:v>KrisFlyer</x:v>
      </x:c>
      <x:c r="C121" s="18" t="str">
        <x:v>Singapore Airlines</x:v>
      </x:c>
      <x:c r="D121" s="18" t="str">
        <x:v>Airlines</x:v>
      </x:c>
      <x:c r="E121" s="18" t="str">
        <x:v>Global</x:v>
      </x:c>
      <x:c r="F121" s="20" t="n">
        <x:v>8.8</x:v>
      </x:c>
      <x:c r="G121" s="22" t="n">
        <x:v>2023</x:v>
      </x:c>
      <x:c r="H121" s="18" t="str">
        <x:v>Members</x:v>
      </x:c>
      <x:c r="I121" s="18" t="str">
        <x:v>2024</x:v>
      </x:c>
      <x:c r="J121" s="18" t="str">
        <x:v>Current (≤4 years)</x:v>
      </x:c>
      <x:c r="K121" s="18" t="str">
        <x:v>B</x:v>
      </x:c>
      <x:c r="L121" s="18" t="str">
        <x:v>2024 airline industry report with cited underlying source</x:v>
      </x:c>
      <x:c r="M121" s="18" t="str">
        <x:v>Singapore Airlines Annual Report 2023</x:v>
      </x:c>
      <x:c r="N121" s="18" t="str">
        <x:v>2024 Big Book of Airline Data</x:v>
      </x:c>
      <x:c r="O121" s="18" t="str">
        <x:v>https://ideaworkscompany.com/wp-content/uploads/2024/12/2024-Big-Book-of-Airline-Data-by-IdeaWorks-1.2.pdf</x:v>
      </x:c>
      <x:c r="P121" s="18" t="str"/>
    </x:row>
    <x:row r="122">
      <x:c r="A122" s="24" t="n">
        <x:f>COUNTIF($F$4:$F$148,"&gt;"&amp;F122)+1</x:f>
        <x:v>119</x:v>
      </x:c>
      <x:c r="B122" s="18" t="str">
        <x:v>EuroBonus</x:v>
      </x:c>
      <x:c r="C122" s="18" t="str">
        <x:v>SAS</x:v>
      </x:c>
      <x:c r="D122" s="18" t="str">
        <x:v>Airlines</x:v>
      </x:c>
      <x:c r="E122" s="18" t="str">
        <x:v>Nordics / Global</x:v>
      </x:c>
      <x:c r="F122" s="20" t="n">
        <x:v>7</x:v>
      </x:c>
      <x:c r="G122" s="22" t="n">
        <x:v>2023</x:v>
      </x:c>
      <x:c r="H122" s="18" t="str">
        <x:v>Members (over)</x:v>
      </x:c>
      <x:c r="I122" s="18" t="str">
        <x:v>2024</x:v>
      </x:c>
      <x:c r="J122" s="18" t="str">
        <x:v>Current (≤4 years)</x:v>
      </x:c>
      <x:c r="K122" s="18" t="str">
        <x:v>B</x:v>
      </x:c>
      <x:c r="L122" s="18" t="str">
        <x:v>2024 airline industry report with cited underlying source</x:v>
      </x:c>
      <x:c r="M122" s="18" t="str">
        <x:v>SAS Annual Report 2023</x:v>
      </x:c>
      <x:c r="N122" s="18" t="str">
        <x:v>2024 Big Book of Airline Data</x:v>
      </x:c>
      <x:c r="O122" s="18" t="str">
        <x:v>https://ideaworkscompany.com/wp-content/uploads/2024/12/2024-Big-Book-of-Airline-Data-by-IdeaWorks-1.2.pdf</x:v>
      </x:c>
      <x:c r="P122" s="18" t="str"/>
    </x:row>
    <x:row r="123">
      <x:c r="A123" s="24" t="n">
        <x:f>COUNTIF($F$4:$F$148,"&gt;"&amp;F123)+1</x:f>
        <x:v>119</x:v>
      </x:c>
      <x:c r="B123" s="18" t="str">
        <x:v>Tims Rewards</x:v>
      </x:c>
      <x:c r="C123" s="18" t="str">
        <x:v>Tim Hortons / Restaurant Brands International</x:v>
      </x:c>
      <x:c r="D123" s="18" t="str">
        <x:v>Restaurants &amp; QSR</x:v>
      </x:c>
      <x:c r="E123" s="18" t="str">
        <x:v>Canada</x:v>
      </x:c>
      <x:c r="F123" s="20" t="n">
        <x:v>7</x:v>
      </x:c>
      <x:c r="G123" s="22" t="n">
        <x:v>2026</x:v>
      </x:c>
      <x:c r="H123" s="18" t="str">
        <x:v>Active members (over)</x:v>
      </x:c>
      <x:c r="I123" s="18" t="str">
        <x:v>Mar-2026</x:v>
      </x:c>
      <x:c r="J123" s="18" t="str">
        <x:v>Current (≤4 years)</x:v>
      </x:c>
      <x:c r="K123" s="18" t="str">
        <x:v>A</x:v>
      </x:c>
      <x:c r="L123" s="18" t="str">
        <x:v>Official company source</x:v>
      </x:c>
      <x:c r="M123" s="18" t="str">
        <x:v>Tim Hortons priorities for 2026</x:v>
      </x:c>
      <x:c r="N123" s="18" t="str">
        <x:v>Tim Hortons priorities for 2026</x:v>
      </x:c>
      <x:c r="O123" s="18" t="str">
        <x:v>https://www.news.timhortons.ca/en/articles/what-s-brewing-for-2026--five-tim-hortons-priorities-for-serving</x:v>
      </x:c>
      <x:c r="P123" s="18" t="str"/>
    </x:row>
    <x:row r="124">
      <x:c r="A124" s="24" t="n">
        <x:f>COUNTIF($F$4:$F$148,"&gt;"&amp;F124)+1</x:f>
        <x:v>121</x:v>
      </x:c>
      <x:c r="B124" s="18" t="str">
        <x:v>S7 Priority</x:v>
      </x:c>
      <x:c r="C124" s="18" t="str">
        <x:v>S7 Airlines</x:v>
      </x:c>
      <x:c r="D124" s="18" t="str">
        <x:v>Airlines</x:v>
      </x:c>
      <x:c r="E124" s="18" t="str">
        <x:v>Russia / Global</x:v>
      </x:c>
      <x:c r="F124" s="20" t="n">
        <x:v>6</x:v>
      </x:c>
      <x:c r="G124" s="22" t="n">
        <x:v>2023</x:v>
      </x:c>
      <x:c r="H124" s="18" t="str">
        <x:v>Members</x:v>
      </x:c>
      <x:c r="I124" s="18" t="str">
        <x:v>2023</x:v>
      </x:c>
      <x:c r="J124" s="18" t="str">
        <x:v>Current (≤4 years)</x:v>
      </x:c>
      <x:c r="K124" s="18" t="str">
        <x:v>B</x:v>
      </x:c>
      <x:c r="L124" s="18" t="str">
        <x:v>2024 airline industry report with cited underlying source</x:v>
      </x:c>
      <x:c r="M124" s="18" t="str">
        <x:v>S7 press release, Nov 2023</x:v>
      </x:c>
      <x:c r="N124" s="18" t="str">
        <x:v>2024 Big Book of Airline Data</x:v>
      </x:c>
      <x:c r="O124" s="18" t="str">
        <x:v>https://ideaworkscompany.com/wp-content/uploads/2024/12/2024-Big-Book-of-Airline-Data-by-IdeaWorks-1.2.pdf</x:v>
      </x:c>
      <x:c r="P124" s="18" t="str"/>
    </x:row>
    <x:row r="125">
      <x:c r="A125" s="24" t="n">
        <x:f>COUNTIF($F$4:$F$148,"&gt;"&amp;F125)+1</x:f>
        <x:v>122</x:v>
      </x:c>
      <x:c r="B125" s="18" t="str">
        <x:v>Mabuhay Miles</x:v>
      </x:c>
      <x:c r="C125" s="18" t="str">
        <x:v>Philippine Airlines</x:v>
      </x:c>
      <x:c r="D125" s="18" t="str">
        <x:v>Airlines</x:v>
      </x:c>
      <x:c r="E125" s="18" t="str">
        <x:v>Philippines / Global</x:v>
      </x:c>
      <x:c r="F125" s="20" t="n">
        <x:v>5.7</x:v>
      </x:c>
      <x:c r="G125" s="22" t="n">
        <x:v>2023</x:v>
      </x:c>
      <x:c r="H125" s="18" t="str">
        <x:v>Members</x:v>
      </x:c>
      <x:c r="I125" s="18" t="str">
        <x:v>2024</x:v>
      </x:c>
      <x:c r="J125" s="18" t="str">
        <x:v>Current (≤4 years)</x:v>
      </x:c>
      <x:c r="K125" s="18" t="str">
        <x:v>B</x:v>
      </x:c>
      <x:c r="L125" s="18" t="str">
        <x:v>2024 airline industry report with cited underlying source</x:v>
      </x:c>
      <x:c r="M125" s="18" t="str">
        <x:v>Philippine Airlines Annual Report 2023</x:v>
      </x:c>
      <x:c r="N125" s="18" t="str">
        <x:v>2024 Big Book of Airline Data</x:v>
      </x:c>
      <x:c r="O125" s="18" t="str">
        <x:v>https://ideaworkscompany.com/wp-content/uploads/2024/12/2024-Big-Book-of-Airline-Data-by-IdeaWorks-1.2.pdf</x:v>
      </x:c>
      <x:c r="P125" s="18" t="str"/>
    </x:row>
    <x:row r="126">
      <x:c r="A126" s="24" t="n">
        <x:f>COUNTIF($F$4:$F$148,"&gt;"&amp;F126)+1</x:f>
        <x:v>123</x:v>
      </x:c>
      <x:c r="B126" s="18" t="str">
        <x:v>Lotusmiles</x:v>
      </x:c>
      <x:c r="C126" s="18" t="str">
        <x:v>Vietnam Airlines</x:v>
      </x:c>
      <x:c r="D126" s="18" t="str">
        <x:v>Airlines</x:v>
      </x:c>
      <x:c r="E126" s="18" t="str">
        <x:v>Vietnam / Global</x:v>
      </x:c>
      <x:c r="F126" s="20" t="n">
        <x:v>5.323196</x:v>
      </x:c>
      <x:c r="G126" s="22" t="n">
        <x:v>2023</x:v>
      </x:c>
      <x:c r="H126" s="18" t="str">
        <x:v>Members</x:v>
      </x:c>
      <x:c r="I126" s="18" t="str">
        <x:v>2024</x:v>
      </x:c>
      <x:c r="J126" s="18" t="str">
        <x:v>Current (≤4 years)</x:v>
      </x:c>
      <x:c r="K126" s="18" t="str">
        <x:v>B</x:v>
      </x:c>
      <x:c r="L126" s="18" t="str">
        <x:v>2024 airline industry report with cited underlying source</x:v>
      </x:c>
      <x:c r="M126" s="18" t="str">
        <x:v>Vietnam Airlines Annual Report 2023</x:v>
      </x:c>
      <x:c r="N126" s="18" t="str">
        <x:v>2024 Big Book of Airline Data</x:v>
      </x:c>
      <x:c r="O126" s="18" t="str">
        <x:v>https://ideaworkscompany.com/wp-content/uploads/2024/12/2024-Big-Book-of-Airline-Data-by-IdeaWorks-1.2.pdf</x:v>
      </x:c>
      <x:c r="P126" s="18" t="str"/>
    </x:row>
    <x:row r="127">
      <x:c r="A127" s="24" t="n">
        <x:f>COUNTIF($F$4:$F$148,"&gt;"&amp;F127)+1</x:f>
        <x:v>124</x:v>
      </x:c>
      <x:c r="B127" s="18" t="str">
        <x:v>Finnair Plus</x:v>
      </x:c>
      <x:c r="C127" s="18" t="str">
        <x:v>Finnair</x:v>
      </x:c>
      <x:c r="D127" s="18" t="str">
        <x:v>Airlines</x:v>
      </x:c>
      <x:c r="E127" s="18" t="str">
        <x:v>Finland / Global</x:v>
      </x:c>
      <x:c r="F127" s="20" t="n">
        <x:v>4.5</x:v>
      </x:c>
      <x:c r="G127" s="22" t="n">
        <x:v>2023</x:v>
      </x:c>
      <x:c r="H127" s="18" t="str">
        <x:v>Members</x:v>
      </x:c>
      <x:c r="I127" s="18" t="str">
        <x:v>2024</x:v>
      </x:c>
      <x:c r="J127" s="18" t="str">
        <x:v>Current (≤4 years)</x:v>
      </x:c>
      <x:c r="K127" s="18" t="str">
        <x:v>B</x:v>
      </x:c>
      <x:c r="L127" s="18" t="str">
        <x:v>2024 airline industry report with cited underlying source</x:v>
      </x:c>
      <x:c r="M127" s="18" t="str">
        <x:v>Finnair Annual Report 2023</x:v>
      </x:c>
      <x:c r="N127" s="18" t="str">
        <x:v>2024 Big Book of Airline Data</x:v>
      </x:c>
      <x:c r="O127" s="18" t="str">
        <x:v>https://ideaworkscompany.com/wp-content/uploads/2024/12/2024-Big-Book-of-Airline-Data-by-IdeaWorks-1.2.pdf</x:v>
      </x:c>
      <x:c r="P127" s="18" t="str"/>
    </x:row>
    <x:row r="128">
      <x:c r="A128" s="24" t="n">
        <x:f>COUNTIF($F$4:$F$148,"&gt;"&amp;F128)+1</x:f>
        <x:v>125</x:v>
      </x:c>
      <x:c r="B128" s="18" t="str">
        <x:v>Airpoints</x:v>
      </x:c>
      <x:c r="C128" s="18" t="str">
        <x:v>Air New Zealand</x:v>
      </x:c>
      <x:c r="D128" s="18" t="str">
        <x:v>Airlines</x:v>
      </x:c>
      <x:c r="E128" s="18" t="str">
        <x:v>New Zealand / Global</x:v>
      </x:c>
      <x:c r="F128" s="20" t="n">
        <x:v>4.2</x:v>
      </x:c>
      <x:c r="G128" s="22" t="n">
        <x:v>2023</x:v>
      </x:c>
      <x:c r="H128" s="18" t="str">
        <x:v>Members</x:v>
      </x:c>
      <x:c r="I128" s="18" t="str">
        <x:v>2023</x:v>
      </x:c>
      <x:c r="J128" s="18" t="str">
        <x:v>Current (≤4 years)</x:v>
      </x:c>
      <x:c r="K128" s="18" t="str">
        <x:v>B</x:v>
      </x:c>
      <x:c r="L128" s="18" t="str">
        <x:v>2024 airline industry report with cited underlying source</x:v>
      </x:c>
      <x:c r="M128" s="18" t="str">
        <x:v>Air New Zealand Annual Report 2023</x:v>
      </x:c>
      <x:c r="N128" s="18" t="str">
        <x:v>2024 Big Book of Airline Data</x:v>
      </x:c>
      <x:c r="O128" s="18" t="str">
        <x:v>https://ideaworkscompany.com/wp-content/uploads/2024/12/2024-Big-Book-of-Airline-Data-by-IdeaWorks-1.2.pdf</x:v>
      </x:c>
      <x:c r="P128" s="18" t="str"/>
    </x:row>
    <x:row r="129">
      <x:c r="A129" s="24" t="n">
        <x:f>COUNTIF($F$4:$F$148,"&gt;"&amp;F129)+1</x:f>
        <x:v>126</x:v>
      </x:c>
      <x:c r="B129" s="18" t="str">
        <x:v>Flying Returns</x:v>
      </x:c>
      <x:c r="C129" s="18" t="str">
        <x:v>Air India</x:v>
      </x:c>
      <x:c r="D129" s="18" t="str">
        <x:v>Airlines</x:v>
      </x:c>
      <x:c r="E129" s="18" t="str">
        <x:v>India / Global</x:v>
      </x:c>
      <x:c r="F129" s="20" t="n">
        <x:v>4</x:v>
      </x:c>
      <x:c r="G129" s="22" t="n">
        <x:v>2023</x:v>
      </x:c>
      <x:c r="H129" s="18" t="str">
        <x:v>Members</x:v>
      </x:c>
      <x:c r="I129" s="18" t="str">
        <x:v>2023</x:v>
      </x:c>
      <x:c r="J129" s="18" t="str">
        <x:v>Current (≤4 years)</x:v>
      </x:c>
      <x:c r="K129" s="18" t="str">
        <x:v>C</x:v>
      </x:c>
      <x:c r="L129" s="18" t="str">
        <x:v>2024 airline industry report with cited underlying source</x:v>
      </x:c>
      <x:c r="M129" s="18" t="str">
        <x:v>Business Standard, Dec 2023</x:v>
      </x:c>
      <x:c r="N129" s="18" t="str">
        <x:v>2024 Big Book of Airline Data</x:v>
      </x:c>
      <x:c r="O129" s="18" t="str">
        <x:v>https://ideaworkscompany.com/wp-content/uploads/2024/12/2024-Big-Book-of-Airline-Data-by-IdeaWorks-1.2.pdf</x:v>
      </x:c>
      <x:c r="P129" s="18" t="str"/>
    </x:row>
    <x:row r="130">
      <x:c r="A130" s="24" t="n">
        <x:f>COUNTIF($F$4:$F$148,"&gt;"&amp;F130)+1</x:f>
        <x:v>126</x:v>
      </x:c>
      <x:c r="B130" s="18" t="str">
        <x:v>Norwegian Reward</x:v>
      </x:c>
      <x:c r="C130" s="18" t="str">
        <x:v>Norwegian Air Shuttle</x:v>
      </x:c>
      <x:c r="D130" s="18" t="str">
        <x:v>Airlines</x:v>
      </x:c>
      <x:c r="E130" s="18" t="str">
        <x:v>Europe / Global</x:v>
      </x:c>
      <x:c r="F130" s="20" t="n">
        <x:v>4</x:v>
      </x:c>
      <x:c r="G130" s="22" t="n">
        <x:v>2023</x:v>
      </x:c>
      <x:c r="H130" s="18" t="str">
        <x:v>Members</x:v>
      </x:c>
      <x:c r="I130" s="18" t="str">
        <x:v>2024</x:v>
      </x:c>
      <x:c r="J130" s="18" t="str">
        <x:v>Current (≤4 years)</x:v>
      </x:c>
      <x:c r="K130" s="18" t="str">
        <x:v>B</x:v>
      </x:c>
      <x:c r="L130" s="18" t="str">
        <x:v>2024 airline industry report with cited underlying source</x:v>
      </x:c>
      <x:c r="M130" s="18" t="str">
        <x:v>Norwegian Annual Report 2023</x:v>
      </x:c>
      <x:c r="N130" s="18" t="str">
        <x:v>2024 Big Book of Airline Data</x:v>
      </x:c>
      <x:c r="O130" s="18" t="str">
        <x:v>https://ideaworkscompany.com/wp-content/uploads/2024/12/2024-Big-Book-of-Airline-Data-by-IdeaWorks-1.2.pdf</x:v>
      </x:c>
      <x:c r="P130" s="18" t="str"/>
    </x:row>
    <x:row r="131">
      <x:c r="A131" s="24" t="n">
        <x:f>COUNTIF($F$4:$F$148,"&gt;"&amp;F131)+1</x:f>
        <x:v>126</x:v>
      </x:c>
      <x:c r="B131" s="18" t="str">
        <x:v>Royal Orchid Plus</x:v>
      </x:c>
      <x:c r="C131" s="18" t="str">
        <x:v>Thai Airways International</x:v>
      </x:c>
      <x:c r="D131" s="18" t="str">
        <x:v>Airlines</x:v>
      </x:c>
      <x:c r="E131" s="18" t="str">
        <x:v>Thailand / Global</x:v>
      </x:c>
      <x:c r="F131" s="20" t="n">
        <x:v>4</x:v>
      </x:c>
      <x:c r="G131" s="22" t="n">
        <x:v>2021</x:v>
      </x:c>
      <x:c r="H131" s="18" t="str">
        <x:v>Members</x:v>
      </x:c>
      <x:c r="I131" s="18" t="str">
        <x:v>2022</x:v>
      </x:c>
      <x:c r="J131" s="18" t="str">
        <x:v>Current (≤4 years)</x:v>
      </x:c>
      <x:c r="K131" s="18" t="str">
        <x:v>C</x:v>
      </x:c>
      <x:c r="L131" s="18" t="str">
        <x:v>2024 airline industry report with cited underlying source</x:v>
      </x:c>
      <x:c r="M131" s="18" t="str">
        <x:v>Thai Airways Annual Report 2021</x:v>
      </x:c>
      <x:c r="N131" s="18" t="str">
        <x:v>2024 Big Book of Airline Data</x:v>
      </x:c>
      <x:c r="O131" s="18" t="str">
        <x:v>https://ideaworkscompany.com/wp-content/uploads/2024/12/2024-Big-Book-of-Airline-Data-by-IdeaWorks-1.2.pdf</x:v>
      </x:c>
      <x:c r="P131" s="18" t="str">
        <x:v>Disclosure is older than four years.</x:v>
      </x:c>
    </x:row>
    <x:row r="132">
      <x:c r="A132" s="24" t="n">
        <x:f>COUNTIF($F$4:$F$148,"&gt;"&amp;F132)+1</x:f>
        <x:v>129</x:v>
      </x:c>
      <x:c r="B132" s="18" t="str">
        <x:v>Aerolíneas Plus</x:v>
      </x:c>
      <x:c r="C132" s="18" t="str">
        <x:v>Aerolíneas Argentinas</x:v>
      </x:c>
      <x:c r="D132" s="18" t="str">
        <x:v>Airlines</x:v>
      </x:c>
      <x:c r="E132" s="18" t="str">
        <x:v>Argentina / Global</x:v>
      </x:c>
      <x:c r="F132" s="20" t="n">
        <x:v>3</x:v>
      </x:c>
      <x:c r="G132" s="22" t="n">
        <x:v>2023</x:v>
      </x:c>
      <x:c r="H132" s="18" t="str">
        <x:v>Members</x:v>
      </x:c>
      <x:c r="I132" s="18" t="str">
        <x:v>2023</x:v>
      </x:c>
      <x:c r="J132" s="18" t="str">
        <x:v>Current (≤4 years)</x:v>
      </x:c>
      <x:c r="K132" s="18" t="str">
        <x:v>B</x:v>
      </x:c>
      <x:c r="L132" s="18" t="str">
        <x:v>2024 airline industry report with cited underlying source</x:v>
      </x:c>
      <x:c r="M132" s="18" t="str">
        <x:v>Airline website disclosure</x:v>
      </x:c>
      <x:c r="N132" s="18" t="str">
        <x:v>2024 Big Book of Airline Data</x:v>
      </x:c>
      <x:c r="O132" s="18" t="str">
        <x:v>https://ideaworkscompany.com/wp-content/uploads/2024/12/2024-Big-Book-of-Airline-Data-by-IdeaWorks-1.2.pdf</x:v>
      </x:c>
      <x:c r="P132" s="18" t="str"/>
    </x:row>
    <x:row r="133">
      <x:c r="A133" s="24" t="n">
        <x:f>COUNTIF($F$4:$F$148,"&gt;"&amp;F133)+1</x:f>
        <x:v>129</x:v>
      </x:c>
      <x:c r="B133" s="18" t="str">
        <x:v>Doters</x:v>
      </x:c>
      <x:c r="C133" s="18" t="str">
        <x:v>Viva Aerobus</x:v>
      </x:c>
      <x:c r="D133" s="18" t="str">
        <x:v>Airlines</x:v>
      </x:c>
      <x:c r="E133" s="18" t="str">
        <x:v>Mexico</x:v>
      </x:c>
      <x:c r="F133" s="20" t="n">
        <x:v>3</x:v>
      </x:c>
      <x:c r="G133" s="22" t="n">
        <x:v>2022</x:v>
      </x:c>
      <x:c r="H133" s="18" t="str">
        <x:v>Projected members</x:v>
      </x:c>
      <x:c r="I133" s="18" t="str">
        <x:v>2023</x:v>
      </x:c>
      <x:c r="J133" s="18" t="str">
        <x:v>Current (≤4 years)</x:v>
      </x:c>
      <x:c r="K133" s="18" t="str">
        <x:v>C</x:v>
      </x:c>
      <x:c r="L133" s="18" t="str">
        <x:v>2024 airline industry report with cited underlying source</x:v>
      </x:c>
      <x:c r="M133" s="18" t="str">
        <x:v>Viva Aerobus Annual Report / projection</x:v>
      </x:c>
      <x:c r="N133" s="18" t="str">
        <x:v>2024 Big Book of Airline Data</x:v>
      </x:c>
      <x:c r="O133" s="18" t="str">
        <x:v>https://ideaworkscompany.com/wp-content/uploads/2024/12/2024-Big-Book-of-Airline-Data-by-IdeaWorks-1.2.pdf</x:v>
      </x:c>
      <x:c r="P133" s="18" t="str"/>
    </x:row>
    <x:row r="134">
      <x:c r="A134" s="24" t="n">
        <x:f>COUNTIF($F$4:$F$148,"&gt;"&amp;F134)+1</x:f>
        <x:v>129</x:v>
      </x:c>
      <x:c r="B134" s="18" t="str">
        <x:v>Matmid</x:v>
      </x:c>
      <x:c r="C134" s="18" t="str">
        <x:v>El Al Israel Airlines</x:v>
      </x:c>
      <x:c r="D134" s="18" t="str">
        <x:v>Airlines</x:v>
      </x:c>
      <x:c r="E134" s="18" t="str">
        <x:v>Israel / Global</x:v>
      </x:c>
      <x:c r="F134" s="20" t="n">
        <x:v>3</x:v>
      </x:c>
      <x:c r="G134" s="22" t="n">
        <x:v>2023</x:v>
      </x:c>
      <x:c r="H134" s="18" t="str">
        <x:v>Members</x:v>
      </x:c>
      <x:c r="I134" s="18" t="str">
        <x:v>2023</x:v>
      </x:c>
      <x:c r="J134" s="18" t="str">
        <x:v>Current (≤4 years)</x:v>
      </x:c>
      <x:c r="K134" s="18" t="str">
        <x:v>B</x:v>
      </x:c>
      <x:c r="L134" s="18" t="str">
        <x:v>2024 airline industry report with cited underlying source</x:v>
      </x:c>
      <x:c r="M134" s="18" t="str">
        <x:v>El Al investor presentation 2023</x:v>
      </x:c>
      <x:c r="N134" s="18" t="str">
        <x:v>2024 Big Book of Airline Data</x:v>
      </x:c>
      <x:c r="O134" s="18" t="str">
        <x:v>https://ideaworkscompany.com/wp-content/uploads/2024/12/2024-Big-Book-of-Airline-Data-by-IdeaWorks-1.2.pdf</x:v>
      </x:c>
      <x:c r="P134" s="18" t="str"/>
    </x:row>
    <x:row r="135">
      <x:c r="A135" s="24" t="n">
        <x:f>COUNTIF($F$4:$F$148,"&gt;"&amp;F135)+1</x:f>
        <x:v>129</x:v>
      </x:c>
      <x:c r="B135" s="18" t="str">
        <x:v>Skybucks</x:v>
      </x:c>
      <x:c r="C135" s="18" t="str">
        <x:v>Airlink</x:v>
      </x:c>
      <x:c r="D135" s="18" t="str">
        <x:v>Airlines</x:v>
      </x:c>
      <x:c r="E135" s="18" t="str">
        <x:v>Southern Africa</x:v>
      </x:c>
      <x:c r="F135" s="20" t="n">
        <x:v>3</x:v>
      </x:c>
      <x:c r="G135" s="22" t="n">
        <x:v>2023</x:v>
      </x:c>
      <x:c r="H135" s="18" t="str">
        <x:v>Members</x:v>
      </x:c>
      <x:c r="I135" s="18" t="str">
        <x:v>2023</x:v>
      </x:c>
      <x:c r="J135" s="18" t="str">
        <x:v>Current (≤4 years)</x:v>
      </x:c>
      <x:c r="K135" s="18" t="str">
        <x:v>B</x:v>
      </x:c>
      <x:c r="L135" s="18" t="str">
        <x:v>2024 airline industry report with cited underlying source</x:v>
      </x:c>
      <x:c r="M135" s="18" t="str">
        <x:v>Airlink company brochure, Jun 2023</x:v>
      </x:c>
      <x:c r="N135" s="18" t="str">
        <x:v>2024 Big Book of Airline Data</x:v>
      </x:c>
      <x:c r="O135" s="18" t="str">
        <x:v>https://ideaworkscompany.com/wp-content/uploads/2024/12/2024-Big-Book-of-Airline-Data-by-IdeaWorks-1.2.pdf</x:v>
      </x:c>
      <x:c r="P135" s="18" t="str"/>
    </x:row>
    <x:row r="136">
      <x:c r="A136" s="24" t="n">
        <x:f>COUNTIF($F$4:$F$148,"&gt;"&amp;F136)+1</x:f>
        <x:v>133</x:v>
      </x:c>
      <x:c r="B136" s="18" t="str">
        <x:v>GarudaMiles</x:v>
      </x:c>
      <x:c r="C136" s="18" t="str">
        <x:v>Garuda Indonesia</x:v>
      </x:c>
      <x:c r="D136" s="18" t="str">
        <x:v>Airlines</x:v>
      </x:c>
      <x:c r="E136" s="18" t="str">
        <x:v>Indonesia / Global</x:v>
      </x:c>
      <x:c r="F136" s="20" t="n">
        <x:v>2.05</x:v>
      </x:c>
      <x:c r="G136" s="22" t="n">
        <x:v>2023</x:v>
      </x:c>
      <x:c r="H136" s="18" t="str">
        <x:v>Members</x:v>
      </x:c>
      <x:c r="I136" s="18" t="str">
        <x:v>2024</x:v>
      </x:c>
      <x:c r="J136" s="18" t="str">
        <x:v>Current (≤4 years)</x:v>
      </x:c>
      <x:c r="K136" s="18" t="str">
        <x:v>B</x:v>
      </x:c>
      <x:c r="L136" s="18" t="str">
        <x:v>2024 airline industry report with cited underlying source</x:v>
      </x:c>
      <x:c r="M136" s="18" t="str">
        <x:v>Garuda Indonesia Annual Report 2023</x:v>
      </x:c>
      <x:c r="N136" s="18" t="str">
        <x:v>2024 Big Book of Airline Data</x:v>
      </x:c>
      <x:c r="O136" s="18" t="str">
        <x:v>https://ideaworkscompany.com/wp-content/uploads/2024/12/2024-Big-Book-of-Airline-Data-by-IdeaWorks-1.2.pdf</x:v>
      </x:c>
      <x:c r="P136" s="18" t="str"/>
    </x:row>
    <x:row r="137">
      <x:c r="A137" s="24" t="n">
        <x:f>COUNTIF($F$4:$F$148,"&gt;"&amp;F137)+1</x:f>
        <x:v>134</x:v>
      </x:c>
      <x:c r="B137" s="18" t="str">
        <x:v>SUMA</x:v>
      </x:c>
      <x:c r="C137" s="18" t="str">
        <x:v>Air Europa</x:v>
      </x:c>
      <x:c r="D137" s="18" t="str">
        <x:v>Airlines</x:v>
      </x:c>
      <x:c r="E137" s="18" t="str">
        <x:v>Spain / Global</x:v>
      </x:c>
      <x:c r="F137" s="20" t="n">
        <x:v>2</x:v>
      </x:c>
      <x:c r="G137" s="22" t="n">
        <x:v>2023</x:v>
      </x:c>
      <x:c r="H137" s="18" t="str">
        <x:v>Members</x:v>
      </x:c>
      <x:c r="I137" s="18" t="str">
        <x:v>2023</x:v>
      </x:c>
      <x:c r="J137" s="18" t="str">
        <x:v>Current (≤4 years)</x:v>
      </x:c>
      <x:c r="K137" s="18" t="str">
        <x:v>B</x:v>
      </x:c>
      <x:c r="L137" s="18" t="str">
        <x:v>2024 airline industry report with cited underlying source</x:v>
      </x:c>
      <x:c r="M137" s="18" t="str">
        <x:v>Air Europa press release, Feb 2023</x:v>
      </x:c>
      <x:c r="N137" s="18" t="str">
        <x:v>2024 Big Book of Airline Data</x:v>
      </x:c>
      <x:c r="O137" s="18" t="str">
        <x:v>https://ideaworkscompany.com/wp-content/uploads/2024/12/2024-Big-Book-of-Airline-Data-by-IdeaWorks-1.2.pdf</x:v>
      </x:c>
      <x:c r="P137" s="18" t="str"/>
    </x:row>
    <x:row r="138">
      <x:c r="A138" s="24" t="n">
        <x:f>COUNTIF($F$4:$F$148,"&gt;"&amp;F138)+1</x:f>
        <x:v>135</x:v>
      </x:c>
      <x:c r="B138" s="18" t="str">
        <x:v>dm active beauty</x:v>
      </x:c>
      <x:c r="C138" s="18" t="str">
        <x:v>dm-drogerie markt Czech Republic</x:v>
      </x:c>
      <x:c r="D138" s="18" t="str">
        <x:v>Retail &amp; beauty</x:v>
      </x:c>
      <x:c r="E138" s="18" t="str">
        <x:v>Czech Republic</x:v>
      </x:c>
      <x:c r="F138" s="20" t="n">
        <x:v>1.9</x:v>
      </x:c>
      <x:c r="G138" s="22" t="n">
        <x:v>2026</x:v>
      </x:c>
      <x:c r="H138" s="18" t="str">
        <x:v>Active users (over)</x:v>
      </x:c>
      <x:c r="I138" s="18" t="str">
        <x:v>Feb-2026</x:v>
      </x:c>
      <x:c r="J138" s="18" t="str">
        <x:v>Current (≤4 years)</x:v>
      </x:c>
      <x:c r="K138" s="18" t="str">
        <x:v>A</x:v>
      </x:c>
      <x:c r="L138" s="18" t="str">
        <x:v>Official company source</x:v>
      </x:c>
      <x:c r="M138" s="18" t="str">
        <x:v>dm leads in customer experience</x:v>
      </x:c>
      <x:c r="N138" s="18" t="str">
        <x:v>dm leads in customer experience</x:v>
      </x:c>
      <x:c r="O138" s="18" t="str">
        <x:v>https://www.dm.cz/o-spolecnosti/presscentrum/tiskove-zpravy/svet-dm/dm-vede-v-zakaznicke-zkusenosti-16-02-2026-3301580</x:v>
      </x:c>
      <x:c r="P138" s="18" t="str"/>
    </x:row>
    <x:row r="139">
      <x:c r="A139" s="24" t="n">
        <x:f>COUNTIF($F$4:$F$148,"&gt;"&amp;F139)+1</x:f>
        <x:v>136</x:v>
      </x:c>
      <x:c r="B139" s="18" t="str">
        <x:v>Volare</x:v>
      </x:c>
      <x:c r="C139" s="18" t="str">
        <x:v>ITA Airways</x:v>
      </x:c>
      <x:c r="D139" s="18" t="str">
        <x:v>Airlines</x:v>
      </x:c>
      <x:c r="E139" s="18" t="str">
        <x:v>Italy / Global</x:v>
      </x:c>
      <x:c r="F139" s="20" t="n">
        <x:v>1.6</x:v>
      </x:c>
      <x:c r="G139" s="22" t="n">
        <x:v>2022</x:v>
      </x:c>
      <x:c r="H139" s="18" t="str">
        <x:v>Members</x:v>
      </x:c>
      <x:c r="I139" s="18" t="str">
        <x:v>2022</x:v>
      </x:c>
      <x:c r="J139" s="18" t="str">
        <x:v>Current (≤4 years)</x:v>
      </x:c>
      <x:c r="K139" s="18" t="str">
        <x:v>B</x:v>
      </x:c>
      <x:c r="L139" s="18" t="str">
        <x:v>2024 airline industry report with cited underlying source</x:v>
      </x:c>
      <x:c r="M139" s="18" t="str">
        <x:v>ITA Airways press release, Dec 2022</x:v>
      </x:c>
      <x:c r="N139" s="18" t="str">
        <x:v>2024 Big Book of Airline Data</x:v>
      </x:c>
      <x:c r="O139" s="18" t="str">
        <x:v>https://ideaworkscompany.com/wp-content/uploads/2024/12/2024-Big-Book-of-Airline-Data-by-IdeaWorks-1.2.pdf</x:v>
      </x:c>
      <x:c r="P139" s="18" t="str"/>
    </x:row>
    <x:row r="140">
      <x:c r="A140" s="24" t="n">
        <x:f>COUNTIF($F$4:$F$148,"&gt;"&amp;F140)+1</x:f>
        <x:v>137</x:v>
      </x:c>
      <x:c r="B140" s="18" t="str">
        <x:v>FlyerBonus</x:v>
      </x:c>
      <x:c r="C140" s="18" t="str">
        <x:v>Bangkok Airways</x:v>
      </x:c>
      <x:c r="D140" s="18" t="str">
        <x:v>Airlines</x:v>
      </x:c>
      <x:c r="E140" s="18" t="str">
        <x:v>Thailand / Asia</x:v>
      </x:c>
      <x:c r="F140" s="20" t="n">
        <x:v>1.408102</x:v>
      </x:c>
      <x:c r="G140" s="22" t="n">
        <x:v>2023</x:v>
      </x:c>
      <x:c r="H140" s="18" t="str">
        <x:v>Members</x:v>
      </x:c>
      <x:c r="I140" s="18" t="str">
        <x:v>2024</x:v>
      </x:c>
      <x:c r="J140" s="18" t="str">
        <x:v>Current (≤4 years)</x:v>
      </x:c>
      <x:c r="K140" s="18" t="str">
        <x:v>B</x:v>
      </x:c>
      <x:c r="L140" s="18" t="str">
        <x:v>2024 airline industry report with cited underlying source</x:v>
      </x:c>
      <x:c r="M140" s="18" t="str">
        <x:v>Bangkok Airways Annual Report 2023</x:v>
      </x:c>
      <x:c r="N140" s="18" t="str">
        <x:v>2024 Big Book of Airline Data</x:v>
      </x:c>
      <x:c r="O140" s="18" t="str">
        <x:v>https://ideaworkscompany.com/wp-content/uploads/2024/12/2024-Big-Book-of-Airline-Data-by-IdeaWorks-1.2.pdf</x:v>
      </x:c>
      <x:c r="P140" s="18" t="str"/>
    </x:row>
    <x:row r="141">
      <x:c r="A141" s="24" t="n">
        <x:f>COUNTIF($F$4:$F$148,"&gt;"&amp;F141)+1</x:f>
        <x:v>138</x:v>
      </x:c>
      <x:c r="B141" s="18" t="str">
        <x:v>Saga Club</x:v>
      </x:c>
      <x:c r="C141" s="18" t="str">
        <x:v>Icelandair Group</x:v>
      </x:c>
      <x:c r="D141" s="18" t="str">
        <x:v>Airlines</x:v>
      </x:c>
      <x:c r="E141" s="18" t="str">
        <x:v>Iceland / Global</x:v>
      </x:c>
      <x:c r="F141" s="20" t="n">
        <x:v>1.3</x:v>
      </x:c>
      <x:c r="G141" s="22" t="n">
        <x:v>2022</x:v>
      </x:c>
      <x:c r="H141" s="18" t="str">
        <x:v>Members</x:v>
      </x:c>
      <x:c r="I141" s="18" t="str">
        <x:v>2023</x:v>
      </x:c>
      <x:c r="J141" s="18" t="str">
        <x:v>Current (≤4 years)</x:v>
      </x:c>
      <x:c r="K141" s="18" t="str">
        <x:v>B</x:v>
      </x:c>
      <x:c r="L141" s="18" t="str">
        <x:v>2024 airline industry report with cited underlying source</x:v>
      </x:c>
      <x:c r="M141" s="18" t="str">
        <x:v>Icelandair Annual Report 2022</x:v>
      </x:c>
      <x:c r="N141" s="18" t="str">
        <x:v>2024 Big Book of Airline Data</x:v>
      </x:c>
      <x:c r="O141" s="18" t="str">
        <x:v>https://ideaworkscompany.com/wp-content/uploads/2024/12/2024-Big-Book-of-Airline-Data-by-IdeaWorks-1.2.pdf</x:v>
      </x:c>
      <x:c r="P141" s="18" t="str"/>
    </x:row>
    <x:row r="142">
      <x:c r="A142" s="24" t="n">
        <x:f>COUNTIF($F$4:$F$148,"&gt;"&amp;F142)+1</x:f>
        <x:v>139</x:v>
      </x:c>
      <x:c r="B142" s="18" t="str">
        <x:v>airBaltic Club</x:v>
      </x:c>
      <x:c r="C142" s="18" t="str">
        <x:v>airBaltic</x:v>
      </x:c>
      <x:c r="D142" s="18" t="str">
        <x:v>Airlines</x:v>
      </x:c>
      <x:c r="E142" s="18" t="str">
        <x:v>Baltics / Europe</x:v>
      </x:c>
      <x:c r="F142" s="20" t="n">
        <x:v>1.09075</x:v>
      </x:c>
      <x:c r="G142" s="22" t="n">
        <x:v>2023</x:v>
      </x:c>
      <x:c r="H142" s="18" t="str">
        <x:v>Members</x:v>
      </x:c>
      <x:c r="I142" s="18" t="str">
        <x:v>2024</x:v>
      </x:c>
      <x:c r="J142" s="18" t="str">
        <x:v>Current (≤4 years)</x:v>
      </x:c>
      <x:c r="K142" s="18" t="str">
        <x:v>B</x:v>
      </x:c>
      <x:c r="L142" s="18" t="str">
        <x:v>2024 airline industry report with cited underlying source</x:v>
      </x:c>
      <x:c r="M142" s="18" t="str">
        <x:v>airBaltic Annual Report 2023</x:v>
      </x:c>
      <x:c r="N142" s="18" t="str">
        <x:v>2024 Big Book of Airline Data</x:v>
      </x:c>
      <x:c r="O142" s="18" t="str">
        <x:v>https://ideaworkscompany.com/wp-content/uploads/2024/12/2024-Big-Book-of-Airline-Data-by-IdeaWorks-1.2.pdf</x:v>
      </x:c>
      <x:c r="P142" s="18" t="str"/>
    </x:row>
    <x:row r="143">
      <x:c r="A143" s="24" t="n">
        <x:f>COUNTIF($F$4:$F$148,"&gt;"&amp;F143)+1</x:f>
        <x:v>140</x:v>
      </x:c>
      <x:c r="B143" s="18" t="str">
        <x:v>tigerclub</x:v>
      </x:c>
      <x:c r="C143" s="18" t="str">
        <x:v>Tigerair Taiwan</x:v>
      </x:c>
      <x:c r="D143" s="18" t="str">
        <x:v>Airlines</x:v>
      </x:c>
      <x:c r="E143" s="18" t="str">
        <x:v>Taiwan / Asia</x:v>
      </x:c>
      <x:c r="F143" s="20" t="n">
        <x:v>0.65</x:v>
      </x:c>
      <x:c r="G143" s="22" t="n">
        <x:v>2023</x:v>
      </x:c>
      <x:c r="H143" s="18" t="str">
        <x:v>Members</x:v>
      </x:c>
      <x:c r="I143" s="18" t="str">
        <x:v>2023</x:v>
      </x:c>
      <x:c r="J143" s="18" t="str">
        <x:v>Current (≤4 years)</x:v>
      </x:c>
      <x:c r="K143" s="18" t="str">
        <x:v>B</x:v>
      </x:c>
      <x:c r="L143" s="18" t="str">
        <x:v>2024 airline industry report with cited underlying source</x:v>
      </x:c>
      <x:c r="M143" s="18" t="str">
        <x:v>Tigerair Taiwan investor presentation 2023</x:v>
      </x:c>
      <x:c r="N143" s="18" t="str">
        <x:v>2024 Big Book of Airline Data</x:v>
      </x:c>
      <x:c r="O143" s="18" t="str">
        <x:v>https://ideaworkscompany.com/wp-content/uploads/2024/12/2024-Big-Book-of-Airline-Data-by-IdeaWorks-1.2.pdf</x:v>
      </x:c>
      <x:c r="P143" s="18" t="str"/>
    </x:row>
    <x:row r="144">
      <x:c r="A144" s="24" t="n">
        <x:f>COUNTIF($F$4:$F$148,"&gt;"&amp;F144)+1</x:f>
        <x:v>141</x:v>
      </x:c>
      <x:c r="B144" s="18" t="str">
        <x:v>FlySmiLes</x:v>
      </x:c>
      <x:c r="C144" s="18" t="str">
        <x:v>SriLankan Airlines</x:v>
      </x:c>
      <x:c r="D144" s="18" t="str">
        <x:v>Airlines</x:v>
      </x:c>
      <x:c r="E144" s="18" t="str">
        <x:v>Sri Lanka / Global</x:v>
      </x:c>
      <x:c r="F144" s="20" t="n">
        <x:v>0.615</x:v>
      </x:c>
      <x:c r="G144" s="22" t="n">
        <x:v>2020</x:v>
      </x:c>
      <x:c r="H144" s="18" t="str">
        <x:v>Members</x:v>
      </x:c>
      <x:c r="I144" s="18" t="str">
        <x:v>2021</x:v>
      </x:c>
      <x:c r="J144" s="18" t="str">
        <x:v>Older than 4 years</x:v>
      </x:c>
      <x:c r="K144" s="18" t="str">
        <x:v>C</x:v>
      </x:c>
      <x:c r="L144" s="18" t="str">
        <x:v>2024 airline industry report with cited underlying source</x:v>
      </x:c>
      <x:c r="M144" s="18" t="str">
        <x:v>SriLankan Annual Report 2020</x:v>
      </x:c>
      <x:c r="N144" s="18" t="str">
        <x:v>2024 Big Book of Airline Data</x:v>
      </x:c>
      <x:c r="O144" s="18" t="str">
        <x:v>https://ideaworkscompany.com/wp-content/uploads/2024/12/2024-Big-Book-of-Airline-Data-by-IdeaWorks-1.2.pdf</x:v>
      </x:c>
      <x:c r="P144" s="18" t="str">
        <x:v>Disclosure is older than four years.</x:v>
      </x:c>
    </x:row>
    <x:row r="145">
      <x:c r="A145" s="24" t="n">
        <x:f>COUNTIF($F$4:$F$148,"&gt;"&amp;F145)+1</x:f>
        <x:v>142</x:v>
      </x:c>
      <x:c r="B145" s="18" t="str">
        <x:v>Nomad Club</x:v>
      </x:c>
      <x:c r="C145" s="18" t="str">
        <x:v>Air Astana Group</x:v>
      </x:c>
      <x:c r="D145" s="18" t="str">
        <x:v>Airlines</x:v>
      </x:c>
      <x:c r="E145" s="18" t="str">
        <x:v>Kazakhstan / Global</x:v>
      </x:c>
      <x:c r="F145" s="20" t="n">
        <x:v>0.5</x:v>
      </x:c>
      <x:c r="G145" s="22" t="n">
        <x:v>2022</x:v>
      </x:c>
      <x:c r="H145" s="18" t="str">
        <x:v>Members</x:v>
      </x:c>
      <x:c r="I145" s="18" t="str">
        <x:v>2023</x:v>
      </x:c>
      <x:c r="J145" s="18" t="str">
        <x:v>Current (≤4 years)</x:v>
      </x:c>
      <x:c r="K145" s="18" t="str">
        <x:v>B</x:v>
      </x:c>
      <x:c r="L145" s="18" t="str">
        <x:v>2024 airline industry report with cited underlying source</x:v>
      </x:c>
      <x:c r="M145" s="18" t="str">
        <x:v>Air Astana Annual Report 2022</x:v>
      </x:c>
      <x:c r="N145" s="18" t="str">
        <x:v>2024 Big Book of Airline Data</x:v>
      </x:c>
      <x:c r="O145" s="18" t="str">
        <x:v>https://ideaworkscompany.com/wp-content/uploads/2024/12/2024-Big-Book-of-Airline-Data-by-IdeaWorks-1.2.pdf</x:v>
      </x:c>
      <x:c r="P145" s="18" t="str"/>
    </x:row>
    <x:row r="146">
      <x:c r="A146" s="24" t="n">
        <x:f>COUNTIF($F$4:$F$148,"&gt;"&amp;F146)+1</x:f>
        <x:v>142</x:v>
      </x:c>
      <x:c r="B146" s="18" t="str">
        <x:v>Royal Club</x:v>
      </x:c>
      <x:c r="C146" s="18" t="str">
        <x:v>Royal Jordanian</x:v>
      </x:c>
      <x:c r="D146" s="18" t="str">
        <x:v>Airlines</x:v>
      </x:c>
      <x:c r="E146" s="18" t="str">
        <x:v>Jordan / Global</x:v>
      </x:c>
      <x:c r="F146" s="20" t="n">
        <x:v>0.5</x:v>
      </x:c>
      <x:c r="G146" s="22" t="n">
        <x:v>2022</x:v>
      </x:c>
      <x:c r="H146" s="18" t="str">
        <x:v>Members</x:v>
      </x:c>
      <x:c r="I146" s="18" t="str">
        <x:v>2023</x:v>
      </x:c>
      <x:c r="J146" s="18" t="str">
        <x:v>Current (≤4 years)</x:v>
      </x:c>
      <x:c r="K146" s="18" t="str">
        <x:v>B</x:v>
      </x:c>
      <x:c r="L146" s="18" t="str">
        <x:v>2024 airline industry report with cited underlying source</x:v>
      </x:c>
      <x:c r="M146" s="18" t="str">
        <x:v>Royal Jordanian Annual Report 2022</x:v>
      </x:c>
      <x:c r="N146" s="18" t="str">
        <x:v>2024 Big Book of Airline Data</x:v>
      </x:c>
      <x:c r="O146" s="18" t="str">
        <x:v>https://ideaworkscompany.com/wp-content/uploads/2024/12/2024-Big-Book-of-Airline-Data-by-IdeaWorks-1.2.pdf</x:v>
      </x:c>
      <x:c r="P146" s="18" t="str"/>
    </x:row>
    <x:row r="147">
      <x:c r="A147" s="24" t="n">
        <x:f>COUNTIF($F$4:$F$148,"&gt;"&amp;F147)+1</x:f>
        <x:v>144</x:v>
      </x:c>
      <x:c r="B147" s="18" t="str">
        <x:v>A+</x:v>
      </x:c>
      <x:c r="C147" s="18" t="str">
        <x:v>Azimuth Airlines</x:v>
      </x:c>
      <x:c r="D147" s="18" t="str">
        <x:v>Airlines</x:v>
      </x:c>
      <x:c r="E147" s="18" t="str">
        <x:v>Russia</x:v>
      </x:c>
      <x:c r="F147" s="20" t="n">
        <x:v>0.1</x:v>
      </x:c>
      <x:c r="G147" s="22" t="n">
        <x:v>2024</x:v>
      </x:c>
      <x:c r="H147" s="18" t="str">
        <x:v>Members</x:v>
      </x:c>
      <x:c r="I147" s="18" t="str">
        <x:v>2024</x:v>
      </x:c>
      <x:c r="J147" s="18" t="str">
        <x:v>Current (≤4 years)</x:v>
      </x:c>
      <x:c r="K147" s="18" t="str">
        <x:v>B</x:v>
      </x:c>
      <x:c r="L147" s="18" t="str">
        <x:v>2024 airline industry report with cited underlying source</x:v>
      </x:c>
      <x:c r="M147" s="18" t="str">
        <x:v>Azimuth press release, Jun 2024</x:v>
      </x:c>
      <x:c r="N147" s="18" t="str">
        <x:v>2024 Big Book of Airline Data</x:v>
      </x:c>
      <x:c r="O147" s="18" t="str">
        <x:v>https://ideaworkscompany.com/wp-content/uploads/2024/12/2024-Big-Book-of-Airline-Data-by-IdeaWorks-1.2.pdf</x:v>
      </x:c>
      <x:c r="P147" s="18" t="str"/>
    </x:row>
    <x:row r="148">
      <x:c r="A148" s="24" t="n">
        <x:f>COUNTIF($F$4:$F$148,"&gt;"&amp;F148)+1</x:f>
        <x:v>145</x:v>
      </x:c>
      <x:c r="B148" s="18" t="str">
        <x:v>SATA Imagine</x:v>
      </x:c>
      <x:c r="C148" s="18" t="str">
        <x:v>SATA Group</x:v>
      </x:c>
      <x:c r="D148" s="18" t="str">
        <x:v>Airlines</x:v>
      </x:c>
      <x:c r="E148" s="18" t="str">
        <x:v>Azores / Portugal</x:v>
      </x:c>
      <x:c r="F148" s="20" t="n">
        <x:v>0.070343</x:v>
      </x:c>
      <x:c r="G148" s="22" t="n">
        <x:v>2023</x:v>
      </x:c>
      <x:c r="H148" s="18" t="str">
        <x:v>Members</x:v>
      </x:c>
      <x:c r="I148" s="18" t="str">
        <x:v>2024</x:v>
      </x:c>
      <x:c r="J148" s="18" t="str">
        <x:v>Current (≤4 years)</x:v>
      </x:c>
      <x:c r="K148" s="18" t="str">
        <x:v>B</x:v>
      </x:c>
      <x:c r="L148" s="18" t="str">
        <x:v>2024 airline industry report with cited underlying source</x:v>
      </x:c>
      <x:c r="M148" s="18" t="str">
        <x:v>SATA Annual Report 2023</x:v>
      </x:c>
      <x:c r="N148" s="18" t="str">
        <x:v>2024 Big Book of Airline Data</x:v>
      </x:c>
      <x:c r="O148" s="18" t="str">
        <x:v>https://ideaworkscompany.com/wp-content/uploads/2024/12/2024-Big-Book-of-Airline-Data-by-IdeaWorks-1.2.pdf</x:v>
      </x:c>
      <x:c r="P148" s="18" t="str"/>
    </x:row>
  </x:sheetData>
  <x:mergeCells>
    <x:mergeCell ref="A1:P1"/>
  </x:mergeCells>
  <x:conditionalFormatting sqref="F4:F148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{8C5A2057-7980-872E-BE31-76D503AB1A78}</x14:id>
        </x:ext>
      </x:extLst>
    </x:cfRule>
  </x:conditionalFormatting>
  <x:conditionalFormatting sqref="J4:J148">
    <x:cfRule type="expression" dxfId="0" priority="2">
      <x:formula>LEFT(J4,7)="Current"</x:formula>
    </x:cfRule>
    <x:cfRule type="expression" dxfId="1" priority="3">
      <x:formula>LEFT(J4,5)="Older"</x:formula>
    </x:cfRule>
  </x:conditionalFormatting>
  <x:conditionalFormatting sqref="K4:K148">
    <x:cfRule type="expression" dxfId="2" priority="4">
      <x:formula>K4="A"</x:formula>
    </x:cfRule>
    <x:cfRule type="expression" dxfId="3" priority="5">
      <x:formula>K4="B"</x:formula>
    </x:cfRule>
    <x:cfRule type="expression" dxfId="4" priority="6">
      <x:formula>K4="C"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bd6898cbff445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5A2057-7980-872E-BE31-76D503AB1A78}">
            <x14:dataBar gradient="1">
              <x14:cfvo type="min"/>
              <x14:cfvo type="max"/>
              <x14:fillColor rgb="FF0F766E"/>
            </x14:dataBar>
          </x14:cfRule>
          <xm:sqref>F4:F148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9" hidden="0" customWidth="1"/>
    <x:col min="3" max="3" width="27" hidden="0" customWidth="1"/>
    <x:col min="4" max="4" width="23" hidden="0" customWidth="1"/>
    <x:col min="5" max="5" width="20" hidden="0" customWidth="1"/>
    <x:col min="6" max="6" width="15" hidden="0" customWidth="1"/>
    <x:col min="7" max="7" width="10" hidden="0" customWidth="1"/>
    <x:col min="8" max="8" width="28" hidden="0" customWidth="1"/>
    <x:col min="9" max="9" width="15" hidden="0" customWidth="1"/>
    <x:col min="10" max="10" width="18" hidden="0" customWidth="1"/>
    <x:col min="11" max="11" width="13" hidden="0" customWidth="1"/>
    <x:col min="12" max="12" width="30" hidden="0" customWidth="1"/>
    <x:col min="13" max="13" width="35" hidden="0" customWidth="1"/>
    <x:col min="14" max="14" width="31" hidden="0" customWidth="1"/>
    <x:col min="15" max="15" width="40" hidden="0" customWidth="1"/>
    <x:col min="16" max="16" width="46" hidden="0" customWidth="1"/>
  </x:cols>
  <x:sheetData>
    <x:row r="1">
      <x:c r="A1" s="4" t="str">
        <x:v>Current disclosures only | 131 programs | publication within 4 years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1" t="str">
        <x:v>Rank</x:v>
      </x:c>
      <x:c r="B3" s="11" t="str">
        <x:v>Program</x:v>
      </x:c>
      <x:c r="C3" s="11" t="str">
        <x:v>Parent company</x:v>
      </x:c>
      <x:c r="D3" s="11" t="str">
        <x:v>Category</x:v>
      </x:c>
      <x:c r="E3" s="11" t="str">
        <x:v>Region</x:v>
      </x:c>
      <x:c r="F3" s="11" t="str">
        <x:v>Members (million)</x:v>
      </x:c>
      <x:c r="G3" s="11" t="str">
        <x:v>Data year</x:v>
      </x:c>
      <x:c r="H3" s="11" t="str">
        <x:v>Metric definition</x:v>
      </x:c>
      <x:c r="I3" s="11" t="str">
        <x:v>Publication date</x:v>
      </x:c>
      <x:c r="J3" s="11" t="str">
        <x:v>Freshness</x:v>
      </x:c>
      <x:c r="K3" s="11" t="str">
        <x:v>Source quality</x:v>
      </x:c>
      <x:c r="L3" s="11" t="str">
        <x:v>Source type</x:v>
      </x:c>
      <x:c r="M3" s="11" t="str">
        <x:v>Underlying source / evidence</x:v>
      </x:c>
      <x:c r="N3" s="11" t="str">
        <x:v>Source document</x:v>
      </x:c>
      <x:c r="O3" s="11" t="str">
        <x:v>Source URL</x:v>
      </x:c>
      <x:c r="P3" s="11" t="str">
        <x:v>Notes</x:v>
      </x:c>
    </x:row>
    <x:row r="4">
      <x:c r="A4" t="n">
        <x:f>COUNTIF($F$4:$F$134,"&gt;"&amp;F4)+1</x:f>
        <x:v>1</x:v>
      </x:c>
      <x:c r="B4" s="26" t="str">
        <x:v>KFC Rewards / KFC loyalty ecosystem</x:v>
      </x:c>
      <x:c r="C4" s="26" t="str">
        <x:v>Yum! Brands / Yum China</x:v>
      </x:c>
      <x:c r="D4" s="26" t="str">
        <x:v>Restaurants &amp; QSR</x:v>
      </x:c>
      <x:c r="E4" s="26" t="str">
        <x:v>Global / China-heavy</x:v>
      </x:c>
      <x:c r="F4" s="28" t="n">
        <x:v>550</x:v>
      </x:c>
      <x:c r="G4" s="26" t="n">
        <x:v>2025</x:v>
      </x:c>
      <x:c r="H4" s="26" t="str">
        <x:v>Loyalty members / users</x:v>
      </x:c>
      <x:c r="I4" s="26" t="str">
        <x:v>Feb-2026</x:v>
      </x:c>
      <x:c r="J4" s="26" t="str">
        <x:v>Current (≤4 years)</x:v>
      </x:c>
      <x:c r="K4" s="26" t="str">
        <x:v>B</x:v>
      </x:c>
      <x:c r="L4" s="26" t="str">
        <x:v>2026 industry report with cited underlying source</x:v>
      </x:c>
      <x:c r="M4" s="26" t="str">
        <x:v>Yum China 2025 Results, p.27</x:v>
      </x:c>
      <x:c r="N4" s="26" t="str">
        <x:v>The World's Largest Loyalty Programs (2026)</x:v>
      </x:c>
      <x:c r="O4" s="26" t="str">
        <x:v>https://retailtechinnovationhub.squarespace.com/s/Capillary-Edition-WLLP-Approved.pdf</x:v>
      </x:c>
      <x:c r="P4" s="26" t="str">
        <x:v>Report's top-ranked KFC loyalty base; geography/definition should be checked before direct comparison.</x:v>
      </x:c>
    </x:row>
    <x:row r="5">
      <x:c r="A5" t="n">
        <x:f>COUNTIF($F$4:$F$134,"&gt;"&amp;F5)+1</x:f>
        <x:v>2</x:v>
      </x:c>
      <x:c r="B5" s="26" t="str">
        <x:v>adiClub</x:v>
      </x:c>
      <x:c r="C5" s="26" t="str">
        <x:v>adidas AG</x:v>
      </x:c>
      <x:c r="D5" s="26" t="str">
        <x:v>Retail &amp; consumer brands</x:v>
      </x:c>
      <x:c r="E5" s="26" t="str">
        <x:v>Global</x:v>
      </x:c>
      <x:c r="F5" s="28" t="n">
        <x:v>330</x:v>
      </x:c>
      <x:c r="G5" s="26" t="n">
        <x:v>2025</x:v>
      </x:c>
      <x:c r="H5" s="26" t="str">
        <x:v>Members</x:v>
      </x:c>
      <x:c r="I5" s="26" t="str">
        <x:v>Sep-2025</x:v>
      </x:c>
      <x:c r="J5" s="26" t="str">
        <x:v>Current (≤4 years)</x:v>
      </x:c>
      <x:c r="K5" s="26" t="str">
        <x:v>C</x:v>
      </x:c>
      <x:c r="L5" s="26" t="str">
        <x:v>2026 industry report with cited underlying source</x:v>
      </x:c>
      <x:c r="M5" s="26" t="str">
        <x:v>Loyalty Award Magazine, p.11</x:v>
      </x:c>
      <x:c r="N5" s="26" t="str">
        <x:v>The World's Largest Loyalty Programs (2026)</x:v>
      </x:c>
      <x:c r="O5" s="26" t="str">
        <x:v>https://retailtechinnovationhub.squarespace.com/s/Capillary-Edition-WLLP-Approved.pdf</x:v>
      </x:c>
      <x:c r="P5" s="26" t="str"/>
    </x:row>
    <x:row r="6">
      <x:c r="A6" t="n">
        <x:f>COUNTIF($F$4:$F$134,"&gt;"&amp;F6)+1</x:f>
        <x:v>3</x:v>
      </x:c>
      <x:c r="B6" s="26" t="str">
        <x:v>Marriott Bonvoy</x:v>
      </x:c>
      <x:c r="C6" s="26" t="str">
        <x:v>Marriott International</x:v>
      </x:c>
      <x:c r="D6" s="26" t="str">
        <x:v>Hotels</x:v>
      </x:c>
      <x:c r="E6" s="26" t="str">
        <x:v>Global</x:v>
      </x:c>
      <x:c r="F6" s="28" t="n">
        <x:v>271</x:v>
      </x:c>
      <x:c r="G6" s="26" t="n">
        <x:v>2025</x:v>
      </x:c>
      <x:c r="H6" s="26" t="str">
        <x:v>Registered members</x:v>
      </x:c>
      <x:c r="I6" s="26" t="str">
        <x:v>Feb-2026</x:v>
      </x:c>
      <x:c r="J6" s="26" t="str">
        <x:v>Current (≤4 years)</x:v>
      </x:c>
      <x:c r="K6" s="26" t="str">
        <x:v>A</x:v>
      </x:c>
      <x:c r="L6" s="26" t="str">
        <x:v>Official company source</x:v>
      </x:c>
      <x:c r="M6" s="26" t="str">
        <x:v>Marriott International 2025 Annual Report</x:v>
      </x:c>
      <x:c r="N6" s="26" t="str">
        <x:v>Marriott International 2025 Annual Report</x:v>
      </x:c>
      <x:c r="O6" s="26" t="str">
        <x:v>https://marriott.gcs-web.com/static-files/9cf0e9b0-bbfa-48a6-9e21-ffbdbc4b2d78</x:v>
      </x:c>
      <x:c r="P6" s="26" t="str">
        <x:v>Alternative: 271m (Members, 2025, quality B)</x:v>
      </x:c>
    </x:row>
    <x:row r="7">
      <x:c r="A7" t="n">
        <x:f>COUNTIF($F$4:$F$134,"&gt;"&amp;F7)+1</x:f>
        <x:v>4</x:v>
      </x:c>
      <x:c r="B7" s="26" t="str">
        <x:v>H Rewards</x:v>
      </x:c>
      <x:c r="C7" s="26" t="str">
        <x:v>H World Group</x:v>
      </x:c>
      <x:c r="D7" s="26" t="str">
        <x:v>Hotels</x:v>
      </x:c>
      <x:c r="E7" s="26" t="str">
        <x:v>Global / China</x:v>
      </x:c>
      <x:c r="F7" s="28" t="n">
        <x:v>266</x:v>
      </x:c>
      <x:c r="G7" s="26" t="n">
        <x:v>2024</x:v>
      </x:c>
      <x:c r="H7" s="26" t="str">
        <x:v>Members</x:v>
      </x:c>
      <x:c r="I7" s="26" t="str">
        <x:v>Dec-2024</x:v>
      </x:c>
      <x:c r="J7" s="26" t="str">
        <x:v>Current (≤4 years)</x:v>
      </x:c>
      <x:c r="K7" s="26" t="str">
        <x:v>B</x:v>
      </x:c>
      <x:c r="L7" s="26" t="str">
        <x:v>2026 industry report with cited underlying source</x:v>
      </x:c>
      <x:c r="M7" s="26" t="str">
        <x:v>H World Group 2024 Annual Report, p.59</x:v>
      </x:c>
      <x:c r="N7" s="26" t="str">
        <x:v>The World's Largest Loyalty Programs (2026)</x:v>
      </x:c>
      <x:c r="O7" s="26" t="str">
        <x:v>https://retailtechinnovationhub.squarespace.com/s/Capillary-Edition-WLLP-Approved.pdf</x:v>
      </x:c>
      <x:c r="P7" s="26" t="str"/>
    </x:row>
    <x:row r="8">
      <x:c r="A8" t="n">
        <x:f>COUNTIF($F$4:$F$134,"&gt;"&amp;F8)+1</x:f>
        <x:v>5</x:v>
      </x:c>
      <x:c r="B8" s="26" t="str">
        <x:v>Hilton Honors</x:v>
      </x:c>
      <x:c r="C8" s="26" t="str">
        <x:v>Hilton Worldwide Holdings</x:v>
      </x:c>
      <x:c r="D8" s="26" t="str">
        <x:v>Hotels</x:v>
      </x:c>
      <x:c r="E8" s="26" t="str">
        <x:v>Global</x:v>
      </x:c>
      <x:c r="F8" s="28" t="n">
        <x:v>243</x:v>
      </x:c>
      <x:c r="G8" s="26" t="n">
        <x:v>2025</x:v>
      </x:c>
      <x:c r="H8" s="26" t="str">
        <x:v>Registered members</x:v>
      </x:c>
      <x:c r="I8" s="26" t="str">
        <x:v>Mar-2026</x:v>
      </x:c>
      <x:c r="J8" s="26" t="str">
        <x:v>Current (≤4 years)</x:v>
      </x:c>
      <x:c r="K8" s="26" t="str">
        <x:v>A</x:v>
      </x:c>
      <x:c r="L8" s="26" t="str">
        <x:v>Official company source</x:v>
      </x:c>
      <x:c r="M8" s="26" t="str">
        <x:v>Hilton 2025 Annual Report</x:v>
      </x:c>
      <x:c r="N8" s="26" t="str">
        <x:v>Hilton 2025 Annual Report</x:v>
      </x:c>
      <x:c r="O8" s="26" t="str">
        <x:v>https://stories-editor.hilton.com/wp-content/uploads/2026/03/Hilton-2025-Annual-Report-SEC-Form-10-K.pdf</x:v>
      </x:c>
      <x:c r="P8" s="26" t="str">
        <x:v>Alternative: 243m (Members, 2025, quality B)</x:v>
      </x:c>
    </x:row>
    <x:row r="9">
      <x:c r="A9" t="n">
        <x:f>COUNTIF($F$4:$F$134,"&gt;"&amp;F9)+1</x:f>
        <x:v>6</x:v>
      </x:c>
      <x:c r="B9" s="26" t="str">
        <x:v>MyMcDonald's Rewards / McDonald's loyalty</x:v>
      </x:c>
      <x:c r="C9" s="26" t="str">
        <x:v>McDonald's Corporation</x:v>
      </x:c>
      <x:c r="D9" s="26" t="str">
        <x:v>Restaurants &amp; QSR</x:v>
      </x:c>
      <x:c r="E9" s="26" t="str">
        <x:v>Global</x:v>
      </x:c>
      <x:c r="F9" s="28" t="n">
        <x:v>210</x:v>
      </x:c>
      <x:c r="G9" s="26" t="n">
        <x:v>2025</x:v>
      </x:c>
      <x:c r="H9" s="26" t="str">
        <x:v>90-day active loyalty users (nearly)</x:v>
      </x:c>
      <x:c r="I9" s="26" t="str">
        <x:v>Dec-2025</x:v>
      </x:c>
      <x:c r="J9" s="26" t="str">
        <x:v>Current (≤4 years)</x:v>
      </x:c>
      <x:c r="K9" s="26" t="str">
        <x:v>A</x:v>
      </x:c>
      <x:c r="L9" s="26" t="str">
        <x:v>Official company source</x:v>
      </x:c>
      <x:c r="M9" s="26" t="str">
        <x:v>McDonald's FY2025 results</x:v>
      </x:c>
      <x:c r="N9" s="26" t="str">
        <x:v>McDonald's FY2025 results</x:v>
      </x:c>
      <x:c r="O9" s="26" t="str">
        <x:v>https://corporate.mcdonalds.com/content/mcdonalds/corpmcd/our-stories/article/Q4-full-year-2025-results.html</x:v>
      </x:c>
      <x:c r="P9" s="26" t="str"/>
    </x:row>
    <x:row r="10">
      <x:c r="A10" t="n">
        <x:f>COUNTIF($F$4:$F$134,"&gt;"&amp;F10)+1</x:f>
        <x:v>6</x:v>
      </x:c>
      <x:c r="B10" s="26" t="str">
        <x:v>Pizza Hut China loyalty</x:v>
      </x:c>
      <x:c r="C10" s="26" t="str">
        <x:v>Yum China Holdings</x:v>
      </x:c>
      <x:c r="D10" s="26" t="str">
        <x:v>Restaurants &amp; QSR</x:v>
      </x:c>
      <x:c r="E10" s="26" t="str">
        <x:v>China</x:v>
      </x:c>
      <x:c r="F10" s="28" t="n">
        <x:v>210</x:v>
      </x:c>
      <x:c r="G10" s="26" t="n">
        <x:v>2025</x:v>
      </x:c>
      <x:c r="H10" s="26" t="str">
        <x:v>Loyalty members / users</x:v>
      </x:c>
      <x:c r="I10" s="26" t="str">
        <x:v>Feb-2026</x:v>
      </x:c>
      <x:c r="J10" s="26" t="str">
        <x:v>Current (≤4 years)</x:v>
      </x:c>
      <x:c r="K10" s="26" t="str">
        <x:v>B</x:v>
      </x:c>
      <x:c r="L10" s="26" t="str">
        <x:v>2026 industry report with cited underlying source</x:v>
      </x:c>
      <x:c r="M10" s="26" t="str">
        <x:v>Yum China 2025 Results, p.27</x:v>
      </x:c>
      <x:c r="N10" s="26" t="str">
        <x:v>The World's Largest Loyalty Programs (2026)</x:v>
      </x:c>
      <x:c r="O10" s="26" t="str">
        <x:v>https://retailtechinnovationhub.squarespace.com/s/Capillary-Edition-WLLP-Approved.pdf</x:v>
      </x:c>
      <x:c r="P10" s="26" t="str"/>
    </x:row>
    <x:row r="11">
      <x:c r="A11" t="n">
        <x:f>COUNTIF($F$4:$F$134,"&gt;"&amp;F11)+1</x:f>
        <x:v>8</x:v>
      </x:c>
      <x:c r="B11" s="26" t="str">
        <x:v>H&amp;M Membership</x:v>
      </x:c>
      <x:c r="C11" s="26" t="str">
        <x:v>H &amp; M Hennes &amp; Mauritz AB</x:v>
      </x:c>
      <x:c r="D11" s="26" t="str">
        <x:v>Retail &amp; consumer brands</x:v>
      </x:c>
      <x:c r="E11" s="26" t="str">
        <x:v>Global</x:v>
      </x:c>
      <x:c r="F11" s="28" t="n">
        <x:v>200</x:v>
      </x:c>
      <x:c r="G11" s="26" t="n">
        <x:v>2024</x:v>
      </x:c>
      <x:c r="H11" s="26" t="str">
        <x:v>Members</x:v>
      </x:c>
      <x:c r="I11" s="26" t="str">
        <x:v>May-2024</x:v>
      </x:c>
      <x:c r="J11" s="26" t="str">
        <x:v>Current (≤4 years)</x:v>
      </x:c>
      <x:c r="K11" s="26" t="str">
        <x:v>B</x:v>
      </x:c>
      <x:c r="L11" s="26" t="str">
        <x:v>2026 industry report with cited underlying source</x:v>
      </x:c>
      <x:c r="M11" s="26" t="str">
        <x:v>H&amp;M financial report, p.4</x:v>
      </x:c>
      <x:c r="N11" s="26" t="str">
        <x:v>The World's Largest Loyalty Programs (2026)</x:v>
      </x:c>
      <x:c r="O11" s="26" t="str">
        <x:v>https://retailtechinnovationhub.squarespace.com/s/Capillary-Edition-WLLP-Approved.pdf</x:v>
      </x:c>
      <x:c r="P11" s="26" t="str"/>
    </x:row>
    <x:row r="12">
      <x:c r="A12" t="n">
        <x:f>COUNTIF($F$4:$F$134,"&gt;"&amp;F12)+1</x:f>
        <x:v>9</x:v>
      </x:c>
      <x:c r="B12" s="26" t="str">
        <x:v>IKEA Family</x:v>
      </x:c>
      <x:c r="C12" s="26" t="str">
        <x:v>Inter IKEA / Ingka Group</x:v>
      </x:c>
      <x:c r="D12" s="26" t="str">
        <x:v>Retail &amp; consumer brands</x:v>
      </x:c>
      <x:c r="E12" s="26" t="str">
        <x:v>Global</x:v>
      </x:c>
      <x:c r="F12" s="28" t="n">
        <x:v>180</x:v>
      </x:c>
      <x:c r="G12" s="26" t="n">
        <x:v>2023</x:v>
      </x:c>
      <x:c r="H12" s="26" t="str">
        <x:v>Members</x:v>
      </x:c>
      <x:c r="I12" s="26" t="str">
        <x:v>Dec-2023</x:v>
      </x:c>
      <x:c r="J12" s="26" t="str">
        <x:v>Current (≤4 years)</x:v>
      </x:c>
      <x:c r="K12" s="26" t="str">
        <x:v>C</x:v>
      </x:c>
      <x:c r="L12" s="26" t="str">
        <x:v>2026 industry report with cited underlying source</x:v>
      </x:c>
      <x:c r="M12" s="26" t="str">
        <x:v>Capgemini case study</x:v>
      </x:c>
      <x:c r="N12" s="26" t="str">
        <x:v>The World's Largest Loyalty Programs (2026)</x:v>
      </x:c>
      <x:c r="O12" s="26" t="str">
        <x:v>https://retailtechinnovationhub.squarespace.com/s/Capillary-Edition-WLLP-Approved.pdf</x:v>
      </x:c>
      <x:c r="P12" s="26" t="str"/>
    </x:row>
    <x:row r="13">
      <x:c r="A13" t="n">
        <x:f>COUNTIF($F$4:$F$134,"&gt;"&amp;F13)+1</x:f>
        <x:v>10</x:v>
      </x:c>
      <x:c r="B13" s="26" t="str">
        <x:v>Booking.com Genius</x:v>
      </x:c>
      <x:c r="C13" s="26" t="str">
        <x:v>Booking Holdings</x:v>
      </x:c>
      <x:c r="D13" s="26" t="str">
        <x:v>Online travel</x:v>
      </x:c>
      <x:c r="E13" s="26" t="str">
        <x:v>Global</x:v>
      </x:c>
      <x:c r="F13" s="28" t="n">
        <x:v>170</x:v>
      </x:c>
      <x:c r="G13" s="26" t="n">
        <x:v>2023</x:v>
      </x:c>
      <x:c r="H13" s="26" t="str">
        <x:v>Members / enrolled customers</x:v>
      </x:c>
      <x:c r="I13" s="26" t="str">
        <x:v>Nov-2023</x:v>
      </x:c>
      <x:c r="J13" s="26" t="str">
        <x:v>Current (≤4 years)</x:v>
      </x:c>
      <x:c r="K13" s="26" t="str">
        <x:v>C</x:v>
      </x:c>
      <x:c r="L13" s="26" t="str">
        <x:v>2026 industry report with cited underlying source</x:v>
      </x:c>
      <x:c r="M13" s="26" t="str">
        <x:v>Hospitality Net</x:v>
      </x:c>
      <x:c r="N13" s="26" t="str">
        <x:v>The World's Largest Loyalty Programs (2026)</x:v>
      </x:c>
      <x:c r="O13" s="26" t="str">
        <x:v>https://retailtechinnovationhub.squarespace.com/s/Capillary-Edition-WLLP-Approved.pdf</x:v>
      </x:c>
      <x:c r="P13" s="26" t="str"/>
    </x:row>
    <x:row r="14">
      <x:c r="A14" t="n">
        <x:f>COUNTIF($F$4:$F$134,"&gt;"&amp;F14)+1</x:f>
        <x:v>10</x:v>
      </x:c>
      <x:c r="B14" s="26" t="str">
        <x:v>Expedia One Key</x:v>
      </x:c>
      <x:c r="C14" s="26" t="str">
        <x:v>Expedia Group</x:v>
      </x:c>
      <x:c r="D14" s="26" t="str">
        <x:v>Online travel</x:v>
      </x:c>
      <x:c r="E14" s="26" t="str">
        <x:v>Global</x:v>
      </x:c>
      <x:c r="F14" s="28" t="n">
        <x:v>170</x:v>
      </x:c>
      <x:c r="G14" s="26" t="n">
        <x:v>2023</x:v>
      </x:c>
      <x:c r="H14" s="26" t="str">
        <x:v>Members / enrolled customers</x:v>
      </x:c>
      <x:c r="I14" s="26" t="str">
        <x:v>Jul-2023</x:v>
      </x:c>
      <x:c r="J14" s="26" t="str">
        <x:v>Current (≤4 years)</x:v>
      </x:c>
      <x:c r="K14" s="26" t="str">
        <x:v>C</x:v>
      </x:c>
      <x:c r="L14" s="26" t="str">
        <x:v>2026 industry report with cited underlying source</x:v>
      </x:c>
      <x:c r="M14" s="26" t="str">
        <x:v>Hospitality Net</x:v>
      </x:c>
      <x:c r="N14" s="26" t="str">
        <x:v>The World's Largest Loyalty Programs (2026)</x:v>
      </x:c>
      <x:c r="O14" s="26" t="str">
        <x:v>https://retailtechinnovationhub.squarespace.com/s/Capillary-Edition-WLLP-Approved.pdf</x:v>
      </x:c>
      <x:c r="P14" s="26" t="str"/>
    </x:row>
    <x:row r="15">
      <x:c r="A15" t="n">
        <x:f>COUNTIF($F$4:$F$134,"&gt;"&amp;F15)+1</x:f>
        <x:v>12</x:v>
      </x:c>
      <x:c r="B15" s="26" t="str">
        <x:v>IHG One Rewards</x:v>
      </x:c>
      <x:c r="C15" s="26" t="str">
        <x:v>InterContinental Hotels Group</x:v>
      </x:c>
      <x:c r="D15" s="26" t="str">
        <x:v>Hotels</x:v>
      </x:c>
      <x:c r="E15" s="26" t="str">
        <x:v>Global</x:v>
      </x:c>
      <x:c r="F15" s="28" t="n">
        <x:v>160</x:v>
      </x:c>
      <x:c r="G15" s="26" t="n">
        <x:v>2025</x:v>
      </x:c>
      <x:c r="H15" s="26" t="str">
        <x:v>Members (over)</x:v>
      </x:c>
      <x:c r="I15" s="26" t="str">
        <x:v>Feb-2026</x:v>
      </x:c>
      <x:c r="J15" s="26" t="str">
        <x:v>Current (≤4 years)</x:v>
      </x:c>
      <x:c r="K15" s="26" t="str">
        <x:v>A</x:v>
      </x:c>
      <x:c r="L15" s="26" t="str">
        <x:v>Official company source</x:v>
      </x:c>
      <x:c r="M15" s="26" t="str">
        <x:v>IHG Annual Report and Form 20-F 2025</x:v>
      </x:c>
      <x:c r="N15" s="26" t="str">
        <x:v>IHG Annual Report and Form 20-F 2025</x:v>
      </x:c>
      <x:c r="O15" s="26" t="str">
        <x:v>https://www.ihgplc.com/~/media/Files/I/Ihg-Plc/investors/annual-report/2025/ihg-ar25-interactive.pdf</x:v>
      </x:c>
      <x:c r="P15" s="26" t="str"/>
    </x:row>
    <x:row r="16">
      <x:c r="A16" t="n">
        <x:f>COUNTIF($F$4:$F$134,"&gt;"&amp;F16)+1</x:f>
        <x:v>13</x:v>
      </x:c>
      <x:c r="B16" s="26" t="str">
        <x:v>NeuPass</x:v>
      </x:c>
      <x:c r="C16" s="26" t="str">
        <x:v>Tata Digital / Tata Group</x:v>
      </x:c>
      <x:c r="D16" s="26" t="str">
        <x:v>Coalition &amp; super-app</x:v>
      </x:c>
      <x:c r="E16" s="26" t="str">
        <x:v>India</x:v>
      </x:c>
      <x:c r="F16" s="28" t="n">
        <x:v>140</x:v>
      </x:c>
      <x:c r="G16" s="26" t="n">
        <x:v>2025</x:v>
      </x:c>
      <x:c r="H16" s="26" t="str">
        <x:v>Members</x:v>
      </x:c>
      <x:c r="I16" s="26" t="str">
        <x:v>May-2025</x:v>
      </x:c>
      <x:c r="J16" s="26" t="str">
        <x:v>Current (≤4 years)</x:v>
      </x:c>
      <x:c r="K16" s="26" t="str">
        <x:v>B</x:v>
      </x:c>
      <x:c r="L16" s="26" t="str">
        <x:v>2026 industry report with cited underlying source</x:v>
      </x:c>
      <x:c r="M16" s="26" t="str">
        <x:v>Tata 2024–25 Annual Report, p.12</x:v>
      </x:c>
      <x:c r="N16" s="26" t="str">
        <x:v>The World's Largest Loyalty Programs (2026)</x:v>
      </x:c>
      <x:c r="O16" s="26" t="str">
        <x:v>https://retailtechinnovationhub.squarespace.com/s/Capillary-Edition-WLLP-Approved.pdf</x:v>
      </x:c>
      <x:c r="P16" s="26" t="str"/>
    </x:row>
    <x:row r="17">
      <x:c r="A17" t="n">
        <x:f>COUNTIF($F$4:$F$134,"&gt;"&amp;F17)+1</x:f>
        <x:v>14</x:v>
      </x:c>
      <x:c r="B17" s="26" t="str">
        <x:v>Costco Membership</x:v>
      </x:c>
      <x:c r="C17" s="26" t="str">
        <x:v>Costco Wholesale Corporation</x:v>
      </x:c>
      <x:c r="D17" s="26" t="str">
        <x:v>Paid membership &amp; e-commerce</x:v>
      </x:c>
      <x:c r="E17" s="26" t="str">
        <x:v>Global</x:v>
      </x:c>
      <x:c r="F17" s="28" t="n">
        <x:v>137</x:v>
      </x:c>
      <x:c r="G17" s="26" t="n">
        <x:v>2024</x:v>
      </x:c>
      <x:c r="H17" s="26" t="str">
        <x:v>Cardholders / members</x:v>
      </x:c>
      <x:c r="I17" s="26" t="str">
        <x:v>Jan-2025</x:v>
      </x:c>
      <x:c r="J17" s="26" t="str">
        <x:v>Current (≤4 years)</x:v>
      </x:c>
      <x:c r="K17" s="26" t="str">
        <x:v>B</x:v>
      </x:c>
      <x:c r="L17" s="26" t="str">
        <x:v>2026 industry report with cited underlying source</x:v>
      </x:c>
      <x:c r="M17" s="26" t="str">
        <x:v>Costco 2024 Annual Report, p.3</x:v>
      </x:c>
      <x:c r="N17" s="26" t="str">
        <x:v>The World's Largest Loyalty Programs (2026)</x:v>
      </x:c>
      <x:c r="O17" s="26" t="str">
        <x:v>https://retailtechinnovationhub.squarespace.com/s/Capillary-Edition-WLLP-Approved.pdf</x:v>
      </x:c>
      <x:c r="P17" s="26" t="str"/>
    </x:row>
    <x:row r="18">
      <x:c r="A18" t="n">
        <x:f>COUNTIF($F$4:$F$134,"&gt;"&amp;F18)+1</x:f>
        <x:v>15</x:v>
      </x:c>
      <x:c r="B18" s="26" t="str">
        <x:v>Shop for Free</x:v>
      </x:c>
      <x:c r="C18" s="26" t="str">
        <x:v>Vishal Mega Mart</x:v>
      </x:c>
      <x:c r="D18" s="26" t="str">
        <x:v>Retail &amp; grocery</x:v>
      </x:c>
      <x:c r="E18" s="26" t="str">
        <x:v>India</x:v>
      </x:c>
      <x:c r="F18" s="28" t="n">
        <x:v>134</x:v>
      </x:c>
      <x:c r="G18" s="26" t="n">
        <x:v>2025</x:v>
      </x:c>
      <x:c r="H18" s="26" t="str">
        <x:v>Loyalty members</x:v>
      </x:c>
      <x:c r="I18" s="26" t="str">
        <x:v>Jan-2025</x:v>
      </x:c>
      <x:c r="J18" s="26" t="str">
        <x:v>Current (≤4 years)</x:v>
      </x:c>
      <x:c r="K18" s="26" t="str">
        <x:v>C</x:v>
      </x:c>
      <x:c r="L18" s="26" t="str">
        <x:v>2026 industry report with cited underlying source</x:v>
      </x:c>
      <x:c r="M18" s="26" t="str">
        <x:v>J.P. Morgan report cited by NDTV Profit</x:v>
      </x:c>
      <x:c r="N18" s="26" t="str">
        <x:v>The World's Largest Loyalty Programs (2026)</x:v>
      </x:c>
      <x:c r="O18" s="26" t="str">
        <x:v>https://retailtechinnovationhub.squarespace.com/s/Capillary-Edition-WLLP-Approved.pdf</x:v>
      </x:c>
      <x:c r="P18" s="26" t="str"/>
    </x:row>
    <x:row r="19">
      <x:c r="A19" t="n">
        <x:f>COUNTIF($F$4:$F$134,"&gt;"&amp;F19)+1</x:f>
        <x:v>16</x:v>
      </x:c>
      <x:c r="B19" s="26" t="str">
        <x:v>MileagePlus</x:v>
      </x:c>
      <x:c r="C19" s="26" t="str">
        <x:v>United Airlines</x:v>
      </x:c>
      <x:c r="D19" s="26" t="str">
        <x:v>Airlines</x:v>
      </x:c>
      <x:c r="E19" s="26" t="str">
        <x:v>Global</x:v>
      </x:c>
      <x:c r="F19" s="28" t="n">
        <x:v>130</x:v>
      </x:c>
      <x:c r="G19" s="26" t="n">
        <x:v>2026</x:v>
      </x:c>
      <x:c r="H19" s="26" t="str">
        <x:v>Members (over)</x:v>
      </x:c>
      <x:c r="I19" s="26" t="str">
        <x:v>2026</x:v>
      </x:c>
      <x:c r="J19" s="26" t="str">
        <x:v>Current (≤4 years)</x:v>
      </x:c>
      <x:c r="K19" s="26" t="str">
        <x:v>A</x:v>
      </x:c>
      <x:c r="L19" s="26" t="str">
        <x:v>Investor relations profile</x:v>
      </x:c>
      <x:c r="M19" s="26" t="str">
        <x:v>United Airlines Investor Relations</x:v>
      </x:c>
      <x:c r="N19" s="26" t="str">
        <x:v>United Airlines Investor Relations</x:v>
      </x:c>
      <x:c r="O19" s="26" t="str">
        <x:v>https://ir.united.com/</x:v>
      </x:c>
      <x:c r="P19" s="26" t="str">
        <x:v>Alternative: 110m (Members, 2023, quality C); Alternative: 110m (Members, 2023, quality C)</x:v>
      </x:c>
    </x:row>
    <x:row r="20">
      <x:c r="A20" t="n">
        <x:f>COUNTIF($F$4:$F$134,"&gt;"&amp;F20)+1</x:f>
        <x:v>16</x:v>
      </x:c>
      <x:c r="B20" s="26" t="str">
        <x:v>SkyMiles</x:v>
      </x:c>
      <x:c r="C20" s="26" t="str">
        <x:v>Delta Air Lines</x:v>
      </x:c>
      <x:c r="D20" s="26" t="str">
        <x:v>Airlines</x:v>
      </x:c>
      <x:c r="E20" s="26" t="str">
        <x:v>Global</x:v>
      </x:c>
      <x:c r="F20" s="28" t="n">
        <x:v>130</x:v>
      </x:c>
      <x:c r="G20" s="26" t="n">
        <x:v>2023</x:v>
      </x:c>
      <x:c r="H20" s="26" t="str">
        <x:v>Members</x:v>
      </x:c>
      <x:c r="I20" s="26" t="str">
        <x:v>2023</x:v>
      </x:c>
      <x:c r="J20" s="26" t="str">
        <x:v>Current (≤4 years)</x:v>
      </x:c>
      <x:c r="K20" s="26" t="str">
        <x:v>B</x:v>
      </x:c>
      <x:c r="L20" s="26" t="str">
        <x:v>2024 airline industry report with cited underlying source</x:v>
      </x:c>
      <x:c r="M20" s="26" t="str">
        <x:v>Delta company presentation, 2023</x:v>
      </x:c>
      <x:c r="N20" s="26" t="str">
        <x:v>2024 Big Book of Airline Data</x:v>
      </x:c>
      <x:c r="O20" s="26" t="str">
        <x:v>https://ideaworkscompany.com/wp-content/uploads/2024/12/2024-Big-Book-of-Airline-Data-by-IdeaWorks-1.2.pdf</x:v>
      </x:c>
      <x:c r="P20" s="26" t="str"/>
    </x:row>
    <x:row r="21">
      <x:c r="A21" t="n">
        <x:f>COUNTIF($F$4:$F$134,"&gt;"&amp;F21)+1</x:f>
        <x:v>16</x:v>
      </x:c>
      <x:c r="B21" s="26" t="str">
        <x:v>Zillion</x:v>
      </x:c>
      <x:c r="C21" s="26" t="str">
        <x:v>BharatPe / Zillion</x:v>
      </x:c>
      <x:c r="D21" s="26" t="str">
        <x:v>Coalition &amp; points</x:v>
      </x:c>
      <x:c r="E21" s="26" t="str">
        <x:v>India</x:v>
      </x:c>
      <x:c r="F21" s="28" t="n">
        <x:v>130</x:v>
      </x:c>
      <x:c r="G21" s="26" t="n">
        <x:v>2023</x:v>
      </x:c>
      <x:c r="H21" s="26" t="str">
        <x:v>Members</x:v>
      </x:c>
      <x:c r="I21" s="26" t="str">
        <x:v>May-2023</x:v>
      </x:c>
      <x:c r="J21" s="26" t="str">
        <x:v>Current (≤4 years)</x:v>
      </x:c>
      <x:c r="K21" s="26" t="str">
        <x:v>C</x:v>
      </x:c>
      <x:c r="L21" s="26" t="str">
        <x:v>2026 industry report with cited underlying source</x:v>
      </x:c>
      <x:c r="M21" s="26" t="str">
        <x:v>Business Standard</x:v>
      </x:c>
      <x:c r="N21" s="26" t="str">
        <x:v>The World's Largest Loyalty Programs (2026)</x:v>
      </x:c>
      <x:c r="O21" s="26" t="str">
        <x:v>https://retailtechinnovationhub.squarespace.com/s/Capillary-Edition-WLLP-Approved.pdf</x:v>
      </x:c>
      <x:c r="P21" s="26" t="str"/>
    </x:row>
    <x:row r="22">
      <x:c r="A22" t="n">
        <x:f>COUNTIF($F$4:$F$134,"&gt;"&amp;F22)+1</x:f>
        <x:v>19</x:v>
      </x:c>
      <x:c r="B22" s="26" t="str">
        <x:v>Wyndham Rewards</x:v>
      </x:c>
      <x:c r="C22" s="26" t="str">
        <x:v>Wyndham Hotels &amp; Resorts</x:v>
      </x:c>
      <x:c r="D22" s="26" t="str">
        <x:v>Hotels</x:v>
      </x:c>
      <x:c r="E22" s="26" t="str">
        <x:v>Global</x:v>
      </x:c>
      <x:c r="F22" s="28" t="n">
        <x:v>122</x:v>
      </x:c>
      <x:c r="G22" s="26" t="n">
        <x:v>2025</x:v>
      </x:c>
      <x:c r="H22" s="26" t="str">
        <x:v>Enrolled members (over)</x:v>
      </x:c>
      <x:c r="I22" s="26" t="str">
        <x:v>Feb-2026</x:v>
      </x:c>
      <x:c r="J22" s="26" t="str">
        <x:v>Current (≤4 years)</x:v>
      </x:c>
      <x:c r="K22" s="26" t="str">
        <x:v>A</x:v>
      </x:c>
      <x:c r="L22" s="26" t="str">
        <x:v>Official company source</x:v>
      </x:c>
      <x:c r="M22" s="26" t="str">
        <x:v>Wyndham 2025 Annual Report</x:v>
      </x:c>
      <x:c r="N22" s="26" t="str">
        <x:v>Wyndham 2025 Annual Report</x:v>
      </x:c>
      <x:c r="O22" s="26" t="str">
        <x:v>https://investor.wyndhamhotels.com/financial-information/all-sec-filings/content/0001722684-26-000052/a2025annualreport.pdf</x:v>
      </x:c>
      <x:c r="P22" s="26" t="str">
        <x:v>Alternative: 120m (Members, 2025, quality B)</x:v>
      </x:c>
    </x:row>
    <x:row r="23">
      <x:c r="A23" t="n">
        <x:f>COUNTIF($F$4:$F$134,"&gt;"&amp;F23)+1</x:f>
        <x:v>20</x:v>
      </x:c>
      <x:c r="B23" s="26" t="str">
        <x:v>Ponta</x:v>
      </x:c>
      <x:c r="C23" s="26" t="str">
        <x:v>Loyalty Marketing, Inc. / Mitsubishi Corporation</x:v>
      </x:c>
      <x:c r="D23" s="26" t="str">
        <x:v>Coalition &amp; points</x:v>
      </x:c>
      <x:c r="E23" s="26" t="str">
        <x:v>Japan</x:v>
      </x:c>
      <x:c r="F23" s="28" t="n">
        <x:v>117.4</x:v>
      </x:c>
      <x:c r="G23" s="26" t="n">
        <x:v>2024</x:v>
      </x:c>
      <x:c r="H23" s="26" t="str">
        <x:v>Members</x:v>
      </x:c>
      <x:c r="I23" s="26" t="str">
        <x:v>Apr-2024</x:v>
      </x:c>
      <x:c r="J23" s="26" t="str">
        <x:v>Current (≤4 years)</x:v>
      </x:c>
      <x:c r="K23" s="26" t="str">
        <x:v>A</x:v>
      </x:c>
      <x:c r="L23" s="26" t="str">
        <x:v>Official company source</x:v>
      </x:c>
      <x:c r="M23" s="26" t="str">
        <x:v>Mitsubishi Corporation — Loyalty Marketing project profile</x:v>
      </x:c>
      <x:c r="N23" s="26" t="str">
        <x:v>Mitsubishi Corporation — Loyalty Marketing project profile</x:v>
      </x:c>
      <x:c r="O23" s="26" t="str">
        <x:v>https://www.mitsubishicorp.com/jp/en/about/project/loyalty-marketing/</x:v>
      </x:c>
      <x:c r="P23" s="26" t="str"/>
    </x:row>
    <x:row r="24">
      <x:c r="A24" t="n">
        <x:f>COUNTIF($F$4:$F$134,"&gt;"&amp;F24)+1</x:f>
        <x:v>21</x:v>
      </x:c>
      <x:c r="B24" s="26" t="str">
        <x:v>ALL - Accor Live Limitless</x:v>
      </x:c>
      <x:c r="C24" s="26" t="str">
        <x:v>Accor</x:v>
      </x:c>
      <x:c r="D24" s="26" t="str">
        <x:v>Hotels</x:v>
      </x:c>
      <x:c r="E24" s="26" t="str">
        <x:v>Global</x:v>
      </x:c>
      <x:c r="F24" s="28" t="n">
        <x:v>110</x:v>
      </x:c>
      <x:c r="G24" s="26" t="n">
        <x:v>2025</x:v>
      </x:c>
      <x:c r="H24" s="26" t="str">
        <x:v>Members (over)</x:v>
      </x:c>
      <x:c r="I24" s="26" t="str">
        <x:v>Mar-2026</x:v>
      </x:c>
      <x:c r="J24" s="26" t="str">
        <x:v>Current (≤4 years)</x:v>
      </x:c>
      <x:c r="K24" s="26" t="str">
        <x:v>A</x:v>
      </x:c>
      <x:c r="L24" s="26" t="str">
        <x:v>Official company source</x:v>
      </x:c>
      <x:c r="M24" s="26" t="str">
        <x:v>Accor Integrated Report 2025</x:v>
      </x:c>
      <x:c r="N24" s="26" t="str">
        <x:v>Accor Integrated Report 2025</x:v>
      </x:c>
      <x:c r="O24" s="26" t="str">
        <x:v>https://assets.group.accor.com/yrj0orc8tx24/yMg4ParJIzpy1DzMN0kOQ/90a1cf55393deb7ff5f70b8d44c8ecda/Accor_Integrated_Report_2025.pdf</x:v>
      </x:c>
      <x:c r="P24" s="26" t="str">
        <x:v>Alternative: 100m (Members, 2025, quality B)</x:v>
      </x:c>
    </x:row>
    <x:row r="25">
      <x:c r="A25" t="n">
        <x:f>COUNTIF($F$4:$F$134,"&gt;"&amp;F25)+1</x:f>
        <x:v>21</x:v>
      </x:c>
      <x:c r="B25" s="26" t="str">
        <x:v>myWalgreens</x:v>
      </x:c>
      <x:c r="C25" s="26" t="str">
        <x:v>Walgreens Boots Alliance</x:v>
      </x:c>
      <x:c r="D25" s="26" t="str">
        <x:v>Retail &amp; pharmacy</x:v>
      </x:c>
      <x:c r="E25" s="26" t="str">
        <x:v>United States</x:v>
      </x:c>
      <x:c r="F25" s="28" t="n">
        <x:v>110</x:v>
      </x:c>
      <x:c r="G25" s="26" t="n">
        <x:v>2023</x:v>
      </x:c>
      <x:c r="H25" s="26" t="str">
        <x:v>Members</x:v>
      </x:c>
      <x:c r="I25" s="26" t="str">
        <x:v>Jul-2023</x:v>
      </x:c>
      <x:c r="J25" s="26" t="str">
        <x:v>Current (≤4 years)</x:v>
      </x:c>
      <x:c r="K25" s="26" t="str">
        <x:v>B</x:v>
      </x:c>
      <x:c r="L25" s="26" t="str">
        <x:v>2026 industry report with cited underlying source</x:v>
      </x:c>
      <x:c r="M25" s="26" t="str">
        <x:v>Walgreens press release</x:v>
      </x:c>
      <x:c r="N25" s="26" t="str">
        <x:v>The World's Largest Loyalty Programs (2026)</x:v>
      </x:c>
      <x:c r="O25" s="26" t="str">
        <x:v>https://retailtechinnovationhub.squarespace.com/s/Capillary-Edition-WLLP-Approved.pdf</x:v>
      </x:c>
      <x:c r="P25" s="26" t="str"/>
    </x:row>
    <x:row r="26">
      <x:c r="A26" t="n">
        <x:f>COUNTIF($F$4:$F$134,"&gt;"&amp;F26)+1</x:f>
        <x:v>23</x:v>
      </x:c>
      <x:c r="B26" s="26" t="str">
        <x:v>d POINT CLUB</x:v>
      </x:c>
      <x:c r="C26" s="26" t="str">
        <x:v>NTT DOCOMO</x:v>
      </x:c>
      <x:c r="D26" s="26" t="str">
        <x:v>Coalition &amp; points</x:v>
      </x:c>
      <x:c r="E26" s="26" t="str">
        <x:v>Japan</x:v>
      </x:c>
      <x:c r="F26" s="28" t="n">
        <x:v>106.03</x:v>
      </x:c>
      <x:c r="G26" s="26" t="n">
        <x:v>2025</x:v>
      </x:c>
      <x:c r="H26" s="26" t="str">
        <x:v>Members (approx.)</x:v>
      </x:c>
      <x:c r="I26" s="26" t="str">
        <x:v>Jun-2025</x:v>
      </x:c>
      <x:c r="J26" s="26" t="str">
        <x:v>Current (≤4 years)</x:v>
      </x:c>
      <x:c r="K26" s="26" t="str">
        <x:v>A</x:v>
      </x:c>
      <x:c r="L26" s="26" t="str">
        <x:v>Official company source</x:v>
      </x:c>
      <x:c r="M26" s="26" t="str">
        <x:v>NTT DOCOMO Group Sustainability Report 2025</x:v>
      </x:c>
      <x:c r="N26" s="26" t="str">
        <x:v>NTT DOCOMO Group Sustainability Report 2025</x:v>
      </x:c>
      <x:c r="O26" s="26" t="str">
        <x:v>https://www.docomo.ne.jp/english/binary/pdf/corporate/csr/about/pdf/e_csr2025w_all.pdf?ver=1766649614</x:v>
      </x:c>
      <x:c r="P26" s="26" t="str"/>
    </x:row>
    <x:row r="27">
      <x:c r="A27" t="n">
        <x:f>COUNTIF($F$4:$F$134,"&gt;"&amp;F27)+1</x:f>
        <x:v>24</x:v>
      </x:c>
      <x:c r="B27" s="26" t="str">
        <x:v>7Rewards &amp; Speedy Rewards</x:v>
      </x:c>
      <x:c r="C27" s="26" t="str">
        <x:v>7-Eleven / Seven &amp; i Holdings</x:v>
      </x:c>
      <x:c r="D27" s="26" t="str">
        <x:v>Fuel &amp; convenience</x:v>
      </x:c>
      <x:c r="E27" s="26" t="str">
        <x:v>North America</x:v>
      </x:c>
      <x:c r="F27" s="28" t="n">
        <x:v>104</x:v>
      </x:c>
      <x:c r="G27" s="26" t="n">
        <x:v>2024</x:v>
      </x:c>
      <x:c r="H27" s="26" t="str">
        <x:v>Members</x:v>
      </x:c>
      <x:c r="I27" s="26" t="str">
        <x:v>Apr-2025</x:v>
      </x:c>
      <x:c r="J27" s="26" t="str">
        <x:v>Current (≤4 years)</x:v>
      </x:c>
      <x:c r="K27" s="26" t="str">
        <x:v>B</x:v>
      </x:c>
      <x:c r="L27" s="26" t="str">
        <x:v>2026 industry report with cited underlying source</x:v>
      </x:c>
      <x:c r="M27" s="26" t="str">
        <x:v>7-Eleven FY2024 Annual Report, p.25</x:v>
      </x:c>
      <x:c r="N27" s="26" t="str">
        <x:v>The World's Largest Loyalty Programs (2026)</x:v>
      </x:c>
      <x:c r="O27" s="26" t="str">
        <x:v>https://retailtechinnovationhub.squarespace.com/s/Capillary-Edition-WLLP-Approved.pdf</x:v>
      </x:c>
      <x:c r="P27" s="26" t="str"/>
    </x:row>
    <x:row r="28">
      <x:c r="A28" t="n">
        <x:f>COUNTIF($F$4:$F$134,"&gt;"&amp;F28)+1</x:f>
        <x:v>25</x:v>
      </x:c>
      <x:c r="B28" s="26" t="str">
        <x:v>Lidl Plus</x:v>
      </x:c>
      <x:c r="C28" s="26" t="str">
        <x:v>Lidl Stiftung / Schwarz Group</x:v>
      </x:c>
      <x:c r="D28" s="26" t="str">
        <x:v>Retail &amp; grocery</x:v>
      </x:c>
      <x:c r="E28" s="26" t="str">
        <x:v>Global</x:v>
      </x:c>
      <x:c r="F28" s="28" t="n">
        <x:v>100</x:v>
      </x:c>
      <x:c r="G28" s="26" t="n">
        <x:v>2025</x:v>
      </x:c>
      <x:c r="H28" s="26" t="str">
        <x:v>App users (over)</x:v>
      </x:c>
      <x:c r="I28" s="26" t="str">
        <x:v>Apr-2025</x:v>
      </x:c>
      <x:c r="J28" s="26" t="str">
        <x:v>Current (≤4 years)</x:v>
      </x:c>
      <x:c r="K28" s="26" t="str">
        <x:v>A</x:v>
      </x:c>
      <x:c r="L28" s="26" t="str">
        <x:v>Official company source</x:v>
      </x:c>
      <x:c r="M28" s="26" t="str">
        <x:v>Lidl to trial Click, Reserve &amp; Collect via Lidl Plus</x:v>
      </x:c>
      <x:c r="N28" s="26" t="str">
        <x:v>Lidl to trial Click, Reserve &amp; Collect via Lidl Plus</x:v>
      </x:c>
      <x:c r="O28" s="26" t="str">
        <x:v>https://corporate.lidl.co.uk/media-centre/pressreleases/2025/lidl-to-trial-click-reserve-collect-via-lidl-plus</x:v>
      </x:c>
      <x:c r="P28" s="26" t="str"/>
    </x:row>
    <x:row r="29">
      <x:c r="A29" t="n">
        <x:f>COUNTIF($F$4:$F$134,"&gt;"&amp;F29)+1</x:f>
        <x:v>25</x:v>
      </x:c>
      <x:c r="B29" s="26" t="str">
        <x:v>My Best Buy Membership</x:v>
      </x:c>
      <x:c r="C29" s="26" t="str">
        <x:v>Best Buy Co.</x:v>
      </x:c>
      <x:c r="D29" s="26" t="str">
        <x:v>Retail &amp; consumer brands</x:v>
      </x:c>
      <x:c r="E29" s="26" t="str">
        <x:v>United States</x:v>
      </x:c>
      <x:c r="F29" s="28" t="n">
        <x:v>100</x:v>
      </x:c>
      <x:c r="G29" s="26" t="n">
        <x:v>2023</x:v>
      </x:c>
      <x:c r="H29" s="26" t="str">
        <x:v>Members</x:v>
      </x:c>
      <x:c r="I29" s="26" t="str">
        <x:v>May-2023</x:v>
      </x:c>
      <x:c r="J29" s="26" t="str">
        <x:v>Current (≤4 years)</x:v>
      </x:c>
      <x:c r="K29" s="26" t="str">
        <x:v>C</x:v>
      </x:c>
      <x:c r="L29" s="26" t="str">
        <x:v>2026 industry report with cited underlying source</x:v>
      </x:c>
      <x:c r="M29" s="26" t="str">
        <x:v>CNBC</x:v>
      </x:c>
      <x:c r="N29" s="26" t="str">
        <x:v>The World's Largest Loyalty Programs (2026)</x:v>
      </x:c>
      <x:c r="O29" s="26" t="str">
        <x:v>https://retailtechinnovationhub.squarespace.com/s/Capillary-Edition-WLLP-Approved.pdf</x:v>
      </x:c>
      <x:c r="P29" s="26" t="str"/>
    </x:row>
    <x:row r="30">
      <x:c r="A30" t="n">
        <x:f>COUNTIF($F$4:$F$134,"&gt;"&amp;F30)+1</x:f>
        <x:v>25</x:v>
      </x:c>
      <x:c r="B30" s="26" t="str">
        <x:v>Rakuten Rewards / Rakuten membership</x:v>
      </x:c>
      <x:c r="C30" s="26" t="str">
        <x:v>Rakuten Group</x:v>
      </x:c>
      <x:c r="D30" s="26" t="str">
        <x:v>Coalition &amp; points</x:v>
      </x:c>
      <x:c r="E30" s="26" t="str">
        <x:v>Global / Japan</x:v>
      </x:c>
      <x:c r="F30" s="28" t="n">
        <x:v>100</x:v>
      </x:c>
      <x:c r="G30" s="26" t="n">
        <x:v>2025</x:v>
      </x:c>
      <x:c r="H30" s="26" t="str">
        <x:v>Members / IDs</x:v>
      </x:c>
      <x:c r="I30" s="26" t="str">
        <x:v>Oct-2025</x:v>
      </x:c>
      <x:c r="J30" s="26" t="str">
        <x:v>Current (≤4 years)</x:v>
      </x:c>
      <x:c r="K30" s="26" t="str">
        <x:v>B</x:v>
      </x:c>
      <x:c r="L30" s="26" t="str">
        <x:v>2026 industry report with cited underlying source</x:v>
      </x:c>
      <x:c r="M30" s="26" t="str">
        <x:v>Rakuten website</x:v>
      </x:c>
      <x:c r="N30" s="26" t="str">
        <x:v>The World's Largest Loyalty Programs (2026)</x:v>
      </x:c>
      <x:c r="O30" s="26" t="str">
        <x:v>https://retailtechinnovationhub.squarespace.com/s/Capillary-Edition-WLLP-Approved.pdf</x:v>
      </x:c>
      <x:c r="P30" s="26" t="str"/>
    </x:row>
    <x:row r="31">
      <x:c r="A31" t="n">
        <x:f>COUNTIF($F$4:$F$134,"&gt;"&amp;F31)+1</x:f>
        <x:v>25</x:v>
      </x:c>
      <x:c r="B31" s="26" t="str">
        <x:v>Rapid Rewards</x:v>
      </x:c>
      <x:c r="C31" s="26" t="str">
        <x:v>Southwest Airlines</x:v>
      </x:c>
      <x:c r="D31" s="26" t="str">
        <x:v>Airlines</x:v>
      </x:c>
      <x:c r="E31" s="26" t="str">
        <x:v>Global</x:v>
      </x:c>
      <x:c r="F31" s="28" t="n">
        <x:v>100</x:v>
      </x:c>
      <x:c r="G31" s="26" t="n">
        <x:v>2026</x:v>
      </x:c>
      <x:c r="H31" s="26" t="str">
        <x:v>Members (nearly)</x:v>
      </x:c>
      <x:c r="I31" s="26" t="str">
        <x:v>2026</x:v>
      </x:c>
      <x:c r="J31" s="26" t="str">
        <x:v>Current (≤4 years)</x:v>
      </x:c>
      <x:c r="K31" s="26" t="str">
        <x:v>C</x:v>
      </x:c>
      <x:c r="L31" s="26" t="str">
        <x:v>Earnings call / company disclosure</x:v>
      </x:c>
      <x:c r="M31" s="26" t="str">
        <x:v>Southwest Q2 2026 earnings disclosure</x:v>
      </x:c>
      <x:c r="N31" s="26" t="str">
        <x:v>Southwest Q2 2026 earnings disclosure</x:v>
      </x:c>
      <x:c r="O31" s="26" t="str">
        <x:v>https://www.southwestairlinesinvestorrelations.com/</x:v>
      </x:c>
      <x:c r="P31" s="26" t="str">
        <x:v>Count reported from Q2 2026 earnings call by trade media; source page is investor relations hub.</x:v>
      </x:c>
    </x:row>
    <x:row r="32">
      <x:c r="A32" t="n">
        <x:f>COUNTIF($F$4:$F$134,"&gt;"&amp;F32)+1</x:f>
        <x:v>25</x:v>
      </x:c>
      <x:c r="B32" s="26" t="str">
        <x:v>Target Circle</x:v>
      </x:c>
      <x:c r="C32" s="26" t="str">
        <x:v>Target Corporation</x:v>
      </x:c>
      <x:c r="D32" s="26" t="str">
        <x:v>Retail &amp; grocery</x:v>
      </x:c>
      <x:c r="E32" s="26" t="str">
        <x:v>United States</x:v>
      </x:c>
      <x:c r="F32" s="28" t="n">
        <x:v>100</x:v>
      </x:c>
      <x:c r="G32" s="26" t="n">
        <x:v>2024</x:v>
      </x:c>
      <x:c r="H32" s="26" t="str">
        <x:v>Members (over)</x:v>
      </x:c>
      <x:c r="I32" s="26" t="str">
        <x:v>Mar-2024</x:v>
      </x:c>
      <x:c r="J32" s="26" t="str">
        <x:v>Current (≤4 years)</x:v>
      </x:c>
      <x:c r="K32" s="26" t="str">
        <x:v>A</x:v>
      </x:c>
      <x:c r="L32" s="26" t="str">
        <x:v>Official company source</x:v>
      </x:c>
      <x:c r="M32" s="26" t="str">
        <x:v>Target announces enhanced shopping experience</x:v>
      </x:c>
      <x:c r="N32" s="26" t="str">
        <x:v>Target announces enhanced shopping experience</x:v>
      </x:c>
      <x:c r="O32" s="26" t="str">
        <x:v>https://corporate.target.com/press/release/2024/03/target-announces-plans-to-deliver-enhanced-shopping-experience-in-2024-and-beyond</x:v>
      </x:c>
      <x:c r="P32" s="26" t="str"/>
    </x:row>
    <x:row r="33">
      <x:c r="A33" t="n">
        <x:f>COUNTIF($F$4:$F$134,"&gt;"&amp;F33)+1</x:f>
        <x:v>30</x:v>
      </x:c>
      <x:c r="B33" s="26" t="str">
        <x:v>Sky Pearl Club</x:v>
      </x:c>
      <x:c r="C33" s="26" t="str">
        <x:v>China Southern Airlines</x:v>
      </x:c>
      <x:c r="D33" s="26" t="str">
        <x:v>Airlines</x:v>
      </x:c>
      <x:c r="E33" s="26" t="str">
        <x:v>China / Global</x:v>
      </x:c>
      <x:c r="F33" s="28" t="n">
        <x:v>99.06</x:v>
      </x:c>
      <x:c r="G33" s="26" t="n">
        <x:v>2023</x:v>
      </x:c>
      <x:c r="H33" s="26" t="str">
        <x:v>Members</x:v>
      </x:c>
      <x:c r="I33" s="26" t="str">
        <x:v>2023</x:v>
      </x:c>
      <x:c r="J33" s="26" t="str">
        <x:v>Current (≤4 years)</x:v>
      </x:c>
      <x:c r="K33" s="26" t="str">
        <x:v>B</x:v>
      </x:c>
      <x:c r="L33" s="26" t="str">
        <x:v>2024 airline industry report with cited underlying source</x:v>
      </x:c>
      <x:c r="M33" s="26" t="str">
        <x:v>China Southern company disclosure, 2023</x:v>
      </x:c>
      <x:c r="N33" s="26" t="str">
        <x:v>2024 Big Book of Airline Data</x:v>
      </x:c>
      <x:c r="O33" s="26" t="str">
        <x:v>https://ideaworkscompany.com/wp-content/uploads/2024/12/2024-Big-Book-of-Airline-Data-by-IdeaWorks-1.2.pdf</x:v>
      </x:c>
      <x:c r="P33" s="26" t="str"/>
    </x:row>
    <x:row r="34">
      <x:c r="A34" t="n">
        <x:f>COUNTIF($F$4:$F$134,"&gt;"&amp;F34)+1</x:f>
        <x:v>31</x:v>
      </x:c>
      <x:c r="B34" s="26" t="str">
        <x:v>A-Card</x:v>
      </x:c>
      <x:c r="C34" s="26" t="str">
        <x:v>Atour Lifestyle Holdings</x:v>
      </x:c>
      <x:c r="D34" s="26" t="str">
        <x:v>Hotels</x:v>
      </x:c>
      <x:c r="E34" s="26" t="str">
        <x:v>China</x:v>
      </x:c>
      <x:c r="F34" s="28" t="n">
        <x:v>89</x:v>
      </x:c>
      <x:c r="G34" s="26" t="n">
        <x:v>2024</x:v>
      </x:c>
      <x:c r="H34" s="26" t="str">
        <x:v>Members</x:v>
      </x:c>
      <x:c r="I34" s="26" t="str">
        <x:v>Dec-2024</x:v>
      </x:c>
      <x:c r="J34" s="26" t="str">
        <x:v>Current (≤4 years)</x:v>
      </x:c>
      <x:c r="K34" s="26" t="str">
        <x:v>B</x:v>
      </x:c>
      <x:c r="L34" s="26" t="str">
        <x:v>2026 industry report with cited underlying source</x:v>
      </x:c>
      <x:c r="M34" s="26" t="str">
        <x:v>Atour 2024 Annual Report, p.55</x:v>
      </x:c>
      <x:c r="N34" s="26" t="str">
        <x:v>The World's Largest Loyalty Programs (2026)</x:v>
      </x:c>
      <x:c r="O34" s="26" t="str">
        <x:v>https://retailtechinnovationhub.squarespace.com/s/Capillary-Edition-WLLP-Approved.pdf</x:v>
      </x:c>
      <x:c r="P34" s="26" t="str"/>
    </x:row>
    <x:row r="35">
      <x:c r="A35" t="n">
        <x:f>COUNTIF($F$4:$F$134,"&gt;"&amp;F35)+1</x:f>
        <x:v>32</x:v>
      </x:c>
      <x:c r="B35" s="26" t="str">
        <x:v>PhoenixMiles</x:v>
      </x:c>
      <x:c r="C35" s="26" t="str">
        <x:v>Air China</x:v>
      </x:c>
      <x:c r="D35" s="26" t="str">
        <x:v>Airlines</x:v>
      </x:c>
      <x:c r="E35" s="26" t="str">
        <x:v>China / Global</x:v>
      </x:c>
      <x:c r="F35" s="28" t="n">
        <x:v>82.296</x:v>
      </x:c>
      <x:c r="G35" s="26" t="n">
        <x:v>2023</x:v>
      </x:c>
      <x:c r="H35" s="26" t="str">
        <x:v>Members</x:v>
      </x:c>
      <x:c r="I35" s="26" t="str">
        <x:v>2024</x:v>
      </x:c>
      <x:c r="J35" s="26" t="str">
        <x:v>Current (≤4 years)</x:v>
      </x:c>
      <x:c r="K35" s="26" t="str">
        <x:v>B</x:v>
      </x:c>
      <x:c r="L35" s="26" t="str">
        <x:v>2024 airline industry report with cited underlying source</x:v>
      </x:c>
      <x:c r="M35" s="26" t="str">
        <x:v>Air China Annual Report 2023</x:v>
      </x:c>
      <x:c r="N35" s="26" t="str">
        <x:v>2024 Big Book of Airline Data</x:v>
      </x:c>
      <x:c r="O35" s="26" t="str">
        <x:v>https://ideaworkscompany.com/wp-content/uploads/2024/12/2024-Big-Book-of-Airline-Data-by-IdeaWorks-1.2.pdf</x:v>
      </x:c>
      <x:c r="P35" s="26" t="str"/>
    </x:row>
    <x:row r="36">
      <x:c r="A36" t="n">
        <x:f>COUNTIF($F$4:$F$134,"&gt;"&amp;F36)+1</x:f>
        <x:v>33</x:v>
      </x:c>
      <x:c r="B36" s="26" t="str">
        <x:v>CVS ExtraCare</x:v>
      </x:c>
      <x:c r="C36" s="26" t="str">
        <x:v>CVS Health</x:v>
      </x:c>
      <x:c r="D36" s="26" t="str">
        <x:v>Retail &amp; pharmacy</x:v>
      </x:c>
      <x:c r="E36" s="26" t="str">
        <x:v>United States</x:v>
      </x:c>
      <x:c r="F36" s="28" t="n">
        <x:v>74</x:v>
      </x:c>
      <x:c r="G36" s="26" t="n">
        <x:v>2024</x:v>
      </x:c>
      <x:c r="H36" s="26" t="str">
        <x:v>Members / households</x:v>
      </x:c>
      <x:c r="I36" s="26" t="str">
        <x:v>Jan-2024</x:v>
      </x:c>
      <x:c r="J36" s="26" t="str">
        <x:v>Current (≤4 years)</x:v>
      </x:c>
      <x:c r="K36" s="26" t="str">
        <x:v>C</x:v>
      </x:c>
      <x:c r="L36" s="26" t="str">
        <x:v>2026 industry report with cited underlying source</x:v>
      </x:c>
      <x:c r="M36" s="26" t="str">
        <x:v>PYMNTS</x:v>
      </x:c>
      <x:c r="N36" s="26" t="str">
        <x:v>The World's Largest Loyalty Programs (2026)</x:v>
      </x:c>
      <x:c r="O36" s="26" t="str">
        <x:v>https://retailtechinnovationhub.squarespace.com/s/Capillary-Edition-WLLP-Approved.pdf</x:v>
      </x:c>
      <x:c r="P36" s="26" t="str"/>
    </x:row>
    <x:row r="37">
      <x:c r="A37" t="n">
        <x:f>COUNTIF($F$4:$F$134,"&gt;"&amp;F37)+1</x:f>
        <x:v>33</x:v>
      </x:c>
      <x:c r="B37" s="26" t="str">
        <x:v>Choice Privileges</x:v>
      </x:c>
      <x:c r="C37" s="26" t="str">
        <x:v>Choice Hotels International</x:v>
      </x:c>
      <x:c r="D37" s="26" t="str">
        <x:v>Hotels</x:v>
      </x:c>
      <x:c r="E37" s="26" t="str">
        <x:v>Global</x:v>
      </x:c>
      <x:c r="F37" s="28" t="n">
        <x:v>74</x:v>
      </x:c>
      <x:c r="G37" s="26" t="n">
        <x:v>2025</x:v>
      </x:c>
      <x:c r="H37" s="26" t="str">
        <x:v>Members (over)</x:v>
      </x:c>
      <x:c r="I37" s="26" t="str">
        <x:v>2025</x:v>
      </x:c>
      <x:c r="J37" s="26" t="str">
        <x:v>Current (≤4 years)</x:v>
      </x:c>
      <x:c r="K37" s="26" t="str">
        <x:v>A</x:v>
      </x:c>
      <x:c r="L37" s="26" t="str">
        <x:v>Annual report / SEC filing</x:v>
      </x:c>
      <x:c r="M37" s="26" t="str">
        <x:v>Choice Hotels 2025 Form 10-K</x:v>
      </x:c>
      <x:c r="N37" s="26" t="str">
        <x:v>Choice Hotels 2025 Form 10-K</x:v>
      </x:c>
      <x:c r="O37" s="26" t="str">
        <x:v>https://www.sec.gov/Archives/edgar/data/1046311/000104631126000012/chh-20251231.htm</x:v>
      </x:c>
      <x:c r="P37" s="26" t="str">
        <x:v>Source URL may redirect; count surfaced in 2025 10-K search result. | Alternative: 74m (Members, 2025, quality B)</x:v>
      </x:c>
    </x:row>
    <x:row r="38">
      <x:c r="A38" t="n">
        <x:f>COUNTIF($F$4:$F$134,"&gt;"&amp;F38)+1</x:f>
        <x:v>35</x:v>
      </x:c>
      <x:c r="B38" s="26" t="str">
        <x:v>Treats Rewards</x:v>
      </x:c>
      <x:c r="C38" s="26" t="str">
        <x:v>PetSmart</x:v>
      </x:c>
      <x:c r="D38" s="26" t="str">
        <x:v>Retail &amp; pet care</x:v>
      </x:c>
      <x:c r="E38" s="26" t="str">
        <x:v>North America</x:v>
      </x:c>
      <x:c r="F38" s="28" t="n">
        <x:v>70</x:v>
      </x:c>
      <x:c r="G38" s="26" t="n">
        <x:v>2025</x:v>
      </x:c>
      <x:c r="H38" s="26" t="str">
        <x:v>Members</x:v>
      </x:c>
      <x:c r="I38" s="26" t="str">
        <x:v>Jun-2025</x:v>
      </x:c>
      <x:c r="J38" s="26" t="str">
        <x:v>Current (≤4 years)</x:v>
      </x:c>
      <x:c r="K38" s="26" t="str">
        <x:v>C</x:v>
      </x:c>
      <x:c r="L38" s="26" t="str">
        <x:v>2026 industry report with cited underlying source</x:v>
      </x:c>
      <x:c r="M38" s="26" t="str">
        <x:v>Hightouch case study</x:v>
      </x:c>
      <x:c r="N38" s="26" t="str">
        <x:v>The World's Largest Loyalty Programs (2026)</x:v>
      </x:c>
      <x:c r="O38" s="26" t="str">
        <x:v>https://retailtechinnovationhub.squarespace.com/s/Capillary-Edition-WLLP-Approved.pdf</x:v>
      </x:c>
      <x:c r="P38" s="26" t="str"/>
    </x:row>
    <x:row r="39">
      <x:c r="A39" t="n">
        <x:f>COUNTIF($F$4:$F$134,"&gt;"&amp;F39)+1</x:f>
        <x:v>36</x:v>
      </x:c>
      <x:c r="B39" s="26" t="str">
        <x:v>IAG Loyalty portfolio</x:v>
      </x:c>
      <x:c r="C39" s="26" t="str">
        <x:v>International Airlines Group</x:v>
      </x:c>
      <x:c r="D39" s="26" t="str">
        <x:v>Airlines</x:v>
      </x:c>
      <x:c r="E39" s="26" t="str">
        <x:v>Global</x:v>
      </x:c>
      <x:c r="F39" s="28" t="n">
        <x:v>69</x:v>
      </x:c>
      <x:c r="G39" s="26" t="n">
        <x:v>2025</x:v>
      </x:c>
      <x:c r="H39" s="26" t="str">
        <x:v>Combined members across BA Club, AerClub, Iberia Club, Vueling Club, Qatar Privilege Club, Finnair Plus and Loganair</x:v>
      </x:c>
      <x:c r="I39" s="26" t="str">
        <x:v>Oct-2025</x:v>
      </x:c>
      <x:c r="J39" s="26" t="str">
        <x:v>Current (≤4 years)</x:v>
      </x:c>
      <x:c r="K39" s="26" t="str">
        <x:v>B</x:v>
      </x:c>
      <x:c r="L39" s="26" t="str">
        <x:v>2026 industry report with cited underlying source</x:v>
      </x:c>
      <x:c r="M39" s="26" t="str">
        <x:v>IAG Loyalty website</x:v>
      </x:c>
      <x:c r="N39" s="26" t="str">
        <x:v>The World's Largest Loyalty Programs (2026)</x:v>
      </x:c>
      <x:c r="O39" s="26" t="str">
        <x:v>https://retailtechinnovationhub.squarespace.com/s/Capillary-Edition-WLLP-Approved.pdf</x:v>
      </x:c>
      <x:c r="P39" s="26" t="str"/>
    </x:row>
    <x:row r="40">
      <x:c r="A40" t="n">
        <x:f>COUNTIF($F$4:$F$134,"&gt;"&amp;F40)+1</x:f>
        <x:v>37</x:v>
      </x:c>
      <x:c r="B40" s="26" t="str">
        <x:v>Best Western Rewards</x:v>
      </x:c>
      <x:c r="C40" s="26" t="str">
        <x:v>BWH Hotels</x:v>
      </x:c>
      <x:c r="D40" s="26" t="str">
        <x:v>Hotels</x:v>
      </x:c>
      <x:c r="E40" s="26" t="str">
        <x:v>Global</x:v>
      </x:c>
      <x:c r="F40" s="28" t="n">
        <x:v>63.4</x:v>
      </x:c>
      <x:c r="G40" s="26" t="n">
        <x:v>2025</x:v>
      </x:c>
      <x:c r="H40" s="26" t="str">
        <x:v>Members</x:v>
      </x:c>
      <x:c r="I40" s="26" t="str">
        <x:v>Sep-2025</x:v>
      </x:c>
      <x:c r="J40" s="26" t="str">
        <x:v>Current (≤4 years)</x:v>
      </x:c>
      <x:c r="K40" s="26" t="str">
        <x:v>A</x:v>
      </x:c>
      <x:c r="L40" s="26" t="str">
        <x:v>Official company source</x:v>
      </x:c>
      <x:c r="M40" s="26" t="str">
        <x:v>BWH Hotels GB celebrates record-breaking year</x:v>
      </x:c>
      <x:c r="N40" s="26" t="str">
        <x:v>BWH Hotels GB celebrates record-breaking year</x:v>
      </x:c>
      <x:c r="O40" s="26" t="str">
        <x:v>https://www.joinbwhhotels.co.uk/bwh-blog/bwh-hotels-gb-celebrates-record-breaking-year-amid-industry-challenges/</x:v>
      </x:c>
      <x:c r="P40" s="26" t="str">
        <x:v>Alternative: 64m (Members, 2025, quality B)</x:v>
      </x:c>
    </x:row>
    <x:row r="41">
      <x:c r="A41" t="n">
        <x:f>COUNTIF($F$4:$F$134,"&gt;"&amp;F41)+1</x:f>
        <x:v>38</x:v>
      </x:c>
      <x:c r="B41" s="26" t="str">
        <x:v>Kroger Plus</x:v>
      </x:c>
      <x:c r="C41" s="26" t="str">
        <x:v>The Kroger Co.</x:v>
      </x:c>
      <x:c r="D41" s="26" t="str">
        <x:v>Retail &amp; grocery</x:v>
      </x:c>
      <x:c r="E41" s="26" t="str">
        <x:v>United States</x:v>
      </x:c>
      <x:c r="F41" s="28" t="n">
        <x:v>63</x:v>
      </x:c>
      <x:c r="G41" s="26" t="n">
        <x:v>2024</x:v>
      </x:c>
      <x:c r="H41" s="26" t="str">
        <x:v>Households / loyalty members</x:v>
      </x:c>
      <x:c r="I41" s="26" t="str">
        <x:v>Mar-2025</x:v>
      </x:c>
      <x:c r="J41" s="26" t="str">
        <x:v>Current (≤4 years)</x:v>
      </x:c>
      <x:c r="K41" s="26" t="str">
        <x:v>B</x:v>
      </x:c>
      <x:c r="L41" s="26" t="str">
        <x:v>2026 industry report with cited underlying source</x:v>
      </x:c>
      <x:c r="M41" s="26" t="str">
        <x:v>Kroger 2024 Annual Report, p.99</x:v>
      </x:c>
      <x:c r="N41" s="26" t="str">
        <x:v>The World's Largest Loyalty Programs (2026)</x:v>
      </x:c>
      <x:c r="O41" s="26" t="str">
        <x:v>https://retailtechinnovationhub.squarespace.com/s/Capillary-Edition-WLLP-Approved.pdf</x:v>
      </x:c>
      <x:c r="P41" s="26" t="str"/>
    </x:row>
    <x:row r="42">
      <x:c r="A42" t="n">
        <x:f>COUNTIF($F$4:$F$134,"&gt;"&amp;F42)+1</x:f>
        <x:v>38</x:v>
      </x:c>
      <x:c r="B42" s="26" t="str">
        <x:v>World of Hyatt</x:v>
      </x:c>
      <x:c r="C42" s="26" t="str">
        <x:v>Hyatt Hotels Corporation</x:v>
      </x:c>
      <x:c r="D42" s="26" t="str">
        <x:v>Hotels</x:v>
      </x:c>
      <x:c r="E42" s="26" t="str">
        <x:v>Global</x:v>
      </x:c>
      <x:c r="F42" s="28" t="n">
        <x:v>63</x:v>
      </x:c>
      <x:c r="G42" s="26" t="n">
        <x:v>2025</x:v>
      </x:c>
      <x:c r="H42" s="26" t="str">
        <x:v>Registered members (approx.)</x:v>
      </x:c>
      <x:c r="I42" s="26" t="str">
        <x:v>2026</x:v>
      </x:c>
      <x:c r="J42" s="26" t="str">
        <x:v>Current (≤4 years)</x:v>
      </x:c>
      <x:c r="K42" s="26" t="str">
        <x:v>A</x:v>
      </x:c>
      <x:c r="L42" s="26" t="str">
        <x:v>Annual report / SEC filing</x:v>
      </x:c>
      <x:c r="M42" s="26" t="str">
        <x:v>Marriott Vacations 2025 Annual Report references World of Hyatt</x:v>
      </x:c>
      <x:c r="N42" s="26" t="str">
        <x:v>Marriott Vacations 2025 Annual Report references World of Hyatt</x:v>
      </x:c>
      <x:c r="O42" s="26" t="str">
        <x:v>https://www.sec.gov/Archives/edgar/data/1524358/000152435826000010/vac-20251231.htm</x:v>
      </x:c>
      <x:c r="P42" s="26" t="str">
        <x:v>Third-party SEC filing by Hyatt partner; official filing, not Hyatt's own report. | Alternative: 63m (Members, 2025, quality B)</x:v>
      </x:c>
    </x:row>
    <x:row r="43">
      <x:c r="A43" t="n">
        <x:f>COUNTIF($F$4:$F$134,"&gt;"&amp;F43)+1</x:f>
        <x:v>40</x:v>
      </x:c>
      <x:c r="B43" s="26" t="str">
        <x:v>Samsung Rewards</x:v>
      </x:c>
      <x:c r="C43" s="26" t="str">
        <x:v>Samsung Electronics</x:v>
      </x:c>
      <x:c r="D43" s="26" t="str">
        <x:v>Retail &amp; technology</x:v>
      </x:c>
      <x:c r="E43" s="26" t="str">
        <x:v>Global</x:v>
      </x:c>
      <x:c r="F43" s="28" t="n">
        <x:v>60</x:v>
      </x:c>
      <x:c r="G43" s="26" t="n">
        <x:v>2023</x:v>
      </x:c>
      <x:c r="H43" s="26" t="str">
        <x:v>Members</x:v>
      </x:c>
      <x:c r="I43" s="26" t="str">
        <x:v>May-2023</x:v>
      </x:c>
      <x:c r="J43" s="26" t="str">
        <x:v>Current (≤4 years)</x:v>
      </x:c>
      <x:c r="K43" s="26" t="str">
        <x:v>C</x:v>
      </x:c>
      <x:c r="L43" s="26" t="str">
        <x:v>2026 industry report with cited underlying source</x:v>
      </x:c>
      <x:c r="M43" s="26" t="str">
        <x:v>Let's Talk Loyalty interview</x:v>
      </x:c>
      <x:c r="N43" s="26" t="str">
        <x:v>The World's Largest Loyalty Programs (2026)</x:v>
      </x:c>
      <x:c r="O43" s="26" t="str">
        <x:v>https://retailtechinnovationhub.squarespace.com/s/Capillary-Edition-WLLP-Approved.pdf</x:v>
      </x:c>
      <x:c r="P43" s="26" t="str"/>
    </x:row>
    <x:row r="44">
      <x:c r="A44" t="n">
        <x:f>COUNTIF($F$4:$F$134,"&gt;"&amp;F44)+1</x:f>
        <x:v>41</x:v>
      </x:c>
      <x:c r="B44" s="26" t="str">
        <x:v>AAA Discounts &amp; Rewards</x:v>
      </x:c>
      <x:c r="C44" s="26" t="str">
        <x:v>American Automobile Association</x:v>
      </x:c>
      <x:c r="D44" s="26" t="str">
        <x:v>Membership &amp; services</x:v>
      </x:c>
      <x:c r="E44" s="26" t="str">
        <x:v>United States / Canada</x:v>
      </x:c>
      <x:c r="F44" s="28" t="n">
        <x:v>59</x:v>
      </x:c>
      <x:c r="G44" s="26" t="n">
        <x:v>2025</x:v>
      </x:c>
      <x:c r="H44" s="26" t="str">
        <x:v>Members</x:v>
      </x:c>
      <x:c r="I44" s="26" t="str">
        <x:v>Aug-2025</x:v>
      </x:c>
      <x:c r="J44" s="26" t="str">
        <x:v>Current (≤4 years)</x:v>
      </x:c>
      <x:c r="K44" s="26" t="str">
        <x:v>B</x:v>
      </x:c>
      <x:c r="L44" s="26" t="str">
        <x:v>2026 industry report with cited underlying source</x:v>
      </x:c>
      <x:c r="M44" s="26" t="str">
        <x:v>AAA website</x:v>
      </x:c>
      <x:c r="N44" s="26" t="str">
        <x:v>The World's Largest Loyalty Programs (2026)</x:v>
      </x:c>
      <x:c r="O44" s="26" t="str">
        <x:v>https://retailtechinnovationhub.squarespace.com/s/Capillary-Edition-WLLP-Approved.pdf</x:v>
      </x:c>
      <x:c r="P44" s="26" t="str"/>
    </x:row>
    <x:row r="45">
      <x:c r="A45" t="n">
        <x:f>COUNTIF($F$4:$F$134,"&gt;"&amp;F45)+1</x:f>
        <x:v>41</x:v>
      </x:c>
      <x:c r="B45" s="26" t="str">
        <x:v>Walmart+</x:v>
      </x:c>
      <x:c r="C45" s="26" t="str">
        <x:v>Walmart Inc.</x:v>
      </x:c>
      <x:c r="D45" s="26" t="str">
        <x:v>Paid membership &amp; e-commerce</x:v>
      </x:c>
      <x:c r="E45" s="26" t="str">
        <x:v>United States</x:v>
      </x:c>
      <x:c r="F45" s="28" t="n">
        <x:v>59</x:v>
      </x:c>
      <x:c r="G45" s="26" t="n">
        <x:v>2023</x:v>
      </x:c>
      <x:c r="H45" s="26" t="str">
        <x:v>Members / estimate</x:v>
      </x:c>
      <x:c r="I45" s="26" t="str">
        <x:v>Feb-2023</x:v>
      </x:c>
      <x:c r="J45" s="26" t="str">
        <x:v>Current (≤4 years)</x:v>
      </x:c>
      <x:c r="K45" s="26" t="str">
        <x:v>C</x:v>
      </x:c>
      <x:c r="L45" s="26" t="str">
        <x:v>2026 industry report with cited underlying source</x:v>
      </x:c>
      <x:c r="M45" s="26" t="str">
        <x:v>PYMNTS</x:v>
      </x:c>
      <x:c r="N45" s="26" t="str">
        <x:v>The World's Largest Loyalty Programs (2026)</x:v>
      </x:c>
      <x:c r="O45" s="26" t="str">
        <x:v>https://retailtechinnovationhub.squarespace.com/s/Capillary-Edition-WLLP-Approved.pdf</x:v>
      </x:c>
      <x:c r="P45" s="26" t="str">
        <x:v>Estimate rather than direct audited membership disclosure.</x:v>
      </x:c>
    </x:row>
    <x:row r="46">
      <x:c r="A46" t="n">
        <x:f>COUNTIF($F$4:$F$134,"&gt;"&amp;F46)+1</x:f>
        <x:v>43</x:v>
      </x:c>
      <x:c r="B46" s="26" t="str">
        <x:v>Eastern Miles</x:v>
      </x:c>
      <x:c r="C46" s="26" t="str">
        <x:v>China Eastern Airlines</x:v>
      </x:c>
      <x:c r="D46" s="26" t="str">
        <x:v>Airlines</x:v>
      </x:c>
      <x:c r="E46" s="26" t="str">
        <x:v>China / Global</x:v>
      </x:c>
      <x:c r="F46" s="28" t="n">
        <x:v>57</x:v>
      </x:c>
      <x:c r="G46" s="26" t="n">
        <x:v>2023</x:v>
      </x:c>
      <x:c r="H46" s="26" t="str">
        <x:v>Members</x:v>
      </x:c>
      <x:c r="I46" s="26" t="str">
        <x:v>2024</x:v>
      </x:c>
      <x:c r="J46" s="26" t="str">
        <x:v>Current (≤4 years)</x:v>
      </x:c>
      <x:c r="K46" s="26" t="str">
        <x:v>B</x:v>
      </x:c>
      <x:c r="L46" s="26" t="str">
        <x:v>2024 airline industry report with cited underlying source</x:v>
      </x:c>
      <x:c r="M46" s="26" t="str">
        <x:v>China Eastern Annual Report 2023</x:v>
      </x:c>
      <x:c r="N46" s="26" t="str">
        <x:v>2024 Big Book of Airline Data</x:v>
      </x:c>
      <x:c r="O46" s="26" t="str">
        <x:v>https://ideaworkscompany.com/wp-content/uploads/2024/12/2024-Big-Book-of-Airline-Data-by-IdeaWorks-1.2.pdf</x:v>
      </x:c>
      <x:c r="P46" s="26" t="str">
        <x:v>Alternative: 50m (Members, 2022, quality C)</x:v>
      </x:c>
    </x:row>
    <x:row r="47">
      <x:c r="A47" t="n">
        <x:f>COUNTIF($F$4:$F$134,"&gt;"&amp;F47)+1</x:f>
        <x:v>44</x:v>
      </x:c>
      <x:c r="B47" s="26" t="str">
        <x:v>Starbucks Rewards</x:v>
      </x:c>
      <x:c r="C47" s="26" t="str">
        <x:v>Starbucks Corporation</x:v>
      </x:c>
      <x:c r="D47" s="26" t="str">
        <x:v>Restaurants &amp; QSR</x:v>
      </x:c>
      <x:c r="E47" s="26" t="str">
        <x:v>United States / China</x:v>
      </x:c>
      <x:c r="F47" s="28" t="n">
        <x:v>55</x:v>
      </x:c>
      <x:c r="G47" s="26" t="n">
        <x:v>2025</x:v>
      </x:c>
      <x:c r="H47" s="26" t="str">
        <x:v>Active members / combined markets</x:v>
      </x:c>
      <x:c r="I47" s="26" t="str">
        <x:v>Jul-2025</x:v>
      </x:c>
      <x:c r="J47" s="26" t="str">
        <x:v>Current (≤4 years)</x:v>
      </x:c>
      <x:c r="K47" s="26" t="str">
        <x:v>C</x:v>
      </x:c>
      <x:c r="L47" s="26" t="str">
        <x:v>2026 industry report with cited underlying source</x:v>
      </x:c>
      <x:c r="M47" s="26" t="str">
        <x:v>Marketing Dive and QSR Magazine</x:v>
      </x:c>
      <x:c r="N47" s="26" t="str">
        <x:v>The World's Largest Loyalty Programs (2026)</x:v>
      </x:c>
      <x:c r="O47" s="26" t="str">
        <x:v>https://retailtechinnovationhub.squarespace.com/s/Capillary-Edition-WLLP-Approved.pdf</x:v>
      </x:c>
      <x:c r="P47" s="26" t="str">
        <x:v>Combined figure is not directly comparable with US-only 90-day active membership. | Alternative: 35.5m (90-day active members, 2026, quality A); Alternative: 35.5m (90-day active members, 2026, quality A)</x:v>
      </x:c>
    </x:row>
    <x:row r="48">
      <x:c r="A48" t="n">
        <x:f>COUNTIF($F$4:$F$134,"&gt;"&amp;F48)+1</x:f>
        <x:v>45</x:v>
      </x:c>
      <x:c r="B48" s="26" t="str">
        <x:v>MyPanera</x:v>
      </x:c>
      <x:c r="C48" s="26" t="str">
        <x:v>Panera Brands</x:v>
      </x:c>
      <x:c r="D48" s="26" t="str">
        <x:v>Restaurants &amp; QSR</x:v>
      </x:c>
      <x:c r="E48" s="26" t="str">
        <x:v>United States</x:v>
      </x:c>
      <x:c r="F48" s="28" t="n">
        <x:v>52</x:v>
      </x:c>
      <x:c r="G48" s="26" t="n">
        <x:v>2023</x:v>
      </x:c>
      <x:c r="H48" s="26" t="str">
        <x:v>Members</x:v>
      </x:c>
      <x:c r="I48" s="26" t="str">
        <x:v>Mar-2023</x:v>
      </x:c>
      <x:c r="J48" s="26" t="str">
        <x:v>Current (≤4 years)</x:v>
      </x:c>
      <x:c r="K48" s="26" t="str">
        <x:v>B</x:v>
      </x:c>
      <x:c r="L48" s="26" t="str">
        <x:v>2026 industry report with cited underlying source</x:v>
      </x:c>
      <x:c r="M48" s="26" t="str">
        <x:v>Panera press release</x:v>
      </x:c>
      <x:c r="N48" s="26" t="str">
        <x:v>The World's Largest Loyalty Programs (2026)</x:v>
      </x:c>
      <x:c r="O48" s="26" t="str">
        <x:v>https://retailtechinnovationhub.squarespace.com/s/Capillary-Edition-WLLP-Approved.pdf</x:v>
      </x:c>
      <x:c r="P48" s="26" t="str"/>
    </x:row>
    <x:row r="49">
      <x:c r="A49" t="n">
        <x:f>COUNTIF($F$4:$F$134,"&gt;"&amp;F49)+1</x:f>
        <x:v>46</x:v>
      </x:c>
      <x:c r="B49" s="26" t="str">
        <x:v>LATAM Pass</x:v>
      </x:c>
      <x:c r="C49" s="26" t="str">
        <x:v>LATAM Airlines Group</x:v>
      </x:c>
      <x:c r="D49" s="26" t="str">
        <x:v>Airlines</x:v>
      </x:c>
      <x:c r="E49" s="26" t="str">
        <x:v>Latin America / Global</x:v>
      </x:c>
      <x:c r="F49" s="28" t="n">
        <x:v>51</x:v>
      </x:c>
      <x:c r="G49" s="26" t="n">
        <x:v>2025</x:v>
      </x:c>
      <x:c r="H49" s="26" t="str">
        <x:v>Members</x:v>
      </x:c>
      <x:c r="I49" s="26" t="str">
        <x:v>Aug-2025</x:v>
      </x:c>
      <x:c r="J49" s="26" t="str">
        <x:v>Current (≤4 years)</x:v>
      </x:c>
      <x:c r="K49" s="26" t="str">
        <x:v>C</x:v>
      </x:c>
      <x:c r="L49" s="26" t="str">
        <x:v>2026 industry report with cited underlying source</x:v>
      </x:c>
      <x:c r="M49" s="26" t="str">
        <x:v>ZoneBourse citing LATAM</x:v>
      </x:c>
      <x:c r="N49" s="26" t="str">
        <x:v>The World's Largest Loyalty Programs (2026)</x:v>
      </x:c>
      <x:c r="O49" s="26" t="str">
        <x:v>https://retailtechinnovationhub.squarespace.com/s/Capillary-Edition-WLLP-Approved.pdf</x:v>
      </x:c>
      <x:c r="P49" s="26" t="str">
        <x:v>Alternative: 45m (Members, 2023, quality B)</x:v>
      </x:c>
    </x:row>
    <x:row r="50">
      <x:c r="A50" t="n">
        <x:f>COUNTIF($F$4:$F$134,"&gt;"&amp;F50)+1</x:f>
        <x:v>47</x:v>
      </x:c>
      <x:c r="B50" s="26" t="str">
        <x:v>88VIP</x:v>
      </x:c>
      <x:c r="C50" s="26" t="str">
        <x:v>Alibaba Group</x:v>
      </x:c>
      <x:c r="D50" s="26" t="str">
        <x:v>Paid membership &amp; e-commerce</x:v>
      </x:c>
      <x:c r="E50" s="26" t="str">
        <x:v>China</x:v>
      </x:c>
      <x:c r="F50" s="28" t="n">
        <x:v>50</x:v>
      </x:c>
      <x:c r="G50" s="26" t="n">
        <x:v>2025</x:v>
      </x:c>
      <x:c r="H50" s="26" t="str">
        <x:v>Members</x:v>
      </x:c>
      <x:c r="I50" s="26" t="str">
        <x:v>Mar-2025</x:v>
      </x:c>
      <x:c r="J50" s="26" t="str">
        <x:v>Current (≤4 years)</x:v>
      </x:c>
      <x:c r="K50" s="26" t="str">
        <x:v>B</x:v>
      </x:c>
      <x:c r="L50" s="26" t="str">
        <x:v>2026 industry report with cited underlying source</x:v>
      </x:c>
      <x:c r="M50" s="26" t="str">
        <x:v>Alibaba website</x:v>
      </x:c>
      <x:c r="N50" s="26" t="str">
        <x:v>The World's Largest Loyalty Programs (2026)</x:v>
      </x:c>
      <x:c r="O50" s="26" t="str">
        <x:v>https://retailtechinnovationhub.squarespace.com/s/Capillary-Edition-WLLP-Approved.pdf</x:v>
      </x:c>
      <x:c r="P50" s="26" t="str"/>
    </x:row>
    <x:row r="51">
      <x:c r="A51" t="n">
        <x:f>COUNTIF($F$4:$F$134,"&gt;"&amp;F51)+1</x:f>
        <x:v>47</x:v>
      </x:c>
      <x:c r="B51" s="26" t="str">
        <x:v>Chick-fil-A One</x:v>
      </x:c>
      <x:c r="C51" s="26" t="str">
        <x:v>Chick-fil-A</x:v>
      </x:c>
      <x:c r="D51" s="26" t="str">
        <x:v>Restaurants &amp; QSR</x:v>
      </x:c>
      <x:c r="E51" s="26" t="str">
        <x:v>United States</x:v>
      </x:c>
      <x:c r="F51" s="28" t="n">
        <x:v>50</x:v>
      </x:c>
      <x:c r="G51" s="26" t="n">
        <x:v>2023</x:v>
      </x:c>
      <x:c r="H51" s="26" t="str">
        <x:v>Members</x:v>
      </x:c>
      <x:c r="I51" s="26" t="str">
        <x:v>Mar-2023</x:v>
      </x:c>
      <x:c r="J51" s="26" t="str">
        <x:v>Current (≤4 years)</x:v>
      </x:c>
      <x:c r="K51" s="26" t="str">
        <x:v>C</x:v>
      </x:c>
      <x:c r="L51" s="26" t="str">
        <x:v>2026 industry report with cited underlying source</x:v>
      </x:c>
      <x:c r="M51" s="26" t="str">
        <x:v>Restaurant Dive</x:v>
      </x:c>
      <x:c r="N51" s="26" t="str">
        <x:v>The World's Largest Loyalty Programs (2026)</x:v>
      </x:c>
      <x:c r="O51" s="26" t="str">
        <x:v>https://retailtechinnovationhub.squarespace.com/s/Capillary-Edition-WLLP-Approved.pdf</x:v>
      </x:c>
      <x:c r="P51" s="26" t="str"/>
    </x:row>
    <x:row r="52">
      <x:c r="A52" t="n">
        <x:f>COUNTIF($F$4:$F$134,"&gt;"&amp;F52)+1</x:f>
        <x:v>47</x:v>
      </x:c>
      <x:c r="B52" s="26" t="str">
        <x:v>Dotz</x:v>
      </x:c>
      <x:c r="C52" s="26" t="str">
        <x:v>Dotz S.A.</x:v>
      </x:c>
      <x:c r="D52" s="26" t="str">
        <x:v>Coalition &amp; points</x:v>
      </x:c>
      <x:c r="E52" s="26" t="str">
        <x:v>Brazil</x:v>
      </x:c>
      <x:c r="F52" s="28" t="n">
        <x:v>50</x:v>
      </x:c>
      <x:c r="G52" s="26" t="n">
        <x:v>2023</x:v>
      </x:c>
      <x:c r="H52" s="26" t="str">
        <x:v>Members</x:v>
      </x:c>
      <x:c r="I52" s="26" t="str">
        <x:v>Apr-2023</x:v>
      </x:c>
      <x:c r="J52" s="26" t="str">
        <x:v>Current (≤4 years)</x:v>
      </x:c>
      <x:c r="K52" s="26" t="str">
        <x:v>C</x:v>
      </x:c>
      <x:c r="L52" s="26" t="str">
        <x:v>2026 industry report with cited underlying source</x:v>
      </x:c>
      <x:c r="M52" s="26" t="str">
        <x:v>Let's Talk Loyalty interview</x:v>
      </x:c>
      <x:c r="N52" s="26" t="str">
        <x:v>The World's Largest Loyalty Programs (2026)</x:v>
      </x:c>
      <x:c r="O52" s="26" t="str">
        <x:v>https://retailtechinnovationhub.squarespace.com/s/Capillary-Edition-WLLP-Approved.pdf</x:v>
      </x:c>
      <x:c r="P52" s="26" t="str"/>
    </x:row>
    <x:row r="53">
      <x:c r="A53" t="n">
        <x:f>COUNTIF($F$4:$F$134,"&gt;"&amp;F53)+1</x:f>
        <x:v>50</x:v>
      </x:c>
      <x:c r="B53" s="26" t="str">
        <x:v>Albertsons for U</x:v>
      </x:c>
      <x:c r="C53" s="26" t="str">
        <x:v>Albertsons Companies</x:v>
      </x:c>
      <x:c r="D53" s="26" t="str">
        <x:v>Retail &amp; grocery</x:v>
      </x:c>
      <x:c r="E53" s="26" t="str">
        <x:v>United States</x:v>
      </x:c>
      <x:c r="F53" s="28" t="n">
        <x:v>47</x:v>
      </x:c>
      <x:c r="G53" s="26" t="n">
        <x:v>2025</x:v>
      </x:c>
      <x:c r="H53" s="26" t="str">
        <x:v>Members / households</x:v>
      </x:c>
      <x:c r="I53" s="26" t="str">
        <x:v>Jul-2025</x:v>
      </x:c>
      <x:c r="J53" s="26" t="str">
        <x:v>Current (≤4 years)</x:v>
      </x:c>
      <x:c r="K53" s="26" t="str">
        <x:v>B</x:v>
      </x:c>
      <x:c r="L53" s="26" t="str">
        <x:v>2026 industry report with cited underlying source</x:v>
      </x:c>
      <x:c r="M53" s="26" t="str">
        <x:v>Albertsons Q1 2025 financial report</x:v>
      </x:c>
      <x:c r="N53" s="26" t="str">
        <x:v>The World's Largest Loyalty Programs (2026)</x:v>
      </x:c>
      <x:c r="O53" s="26" t="str">
        <x:v>https://retailtechinnovationhub.squarespace.com/s/Capillary-Edition-WLLP-Approved.pdf</x:v>
      </x:c>
      <x:c r="P53" s="26" t="str"/>
    </x:row>
    <x:row r="54">
      <x:c r="A54" t="n">
        <x:f>COUNTIF($F$4:$F$134,"&gt;"&amp;F54)+1</x:f>
        <x:v>51</x:v>
      </x:c>
      <x:c r="B54" s="26" t="str">
        <x:v>Livelo</x:v>
      </x:c>
      <x:c r="C54" s="26" t="str">
        <x:v>Livelo S.A. / Banco do Brasil and Bradesco</x:v>
      </x:c>
      <x:c r="D54" s="26" t="str">
        <x:v>Coalition &amp; points</x:v>
      </x:c>
      <x:c r="E54" s="26" t="str">
        <x:v>Brazil</x:v>
      </x:c>
      <x:c r="F54" s="28" t="n">
        <x:v>45</x:v>
      </x:c>
      <x:c r="G54" s="26" t="n">
        <x:v>2024</x:v>
      </x:c>
      <x:c r="H54" s="26" t="str">
        <x:v>Members</x:v>
      </x:c>
      <x:c r="I54" s="26" t="str">
        <x:v>Aug-2024</x:v>
      </x:c>
      <x:c r="J54" s="26" t="str">
        <x:v>Current (≤4 years)</x:v>
      </x:c>
      <x:c r="K54" s="26" t="str">
        <x:v>C</x:v>
      </x:c>
      <x:c r="L54" s="26" t="str">
        <x:v>2026 industry report with cited underlying source</x:v>
      </x:c>
      <x:c r="M54" s="26" t="str">
        <x:v>Let's Talk Loyalty interview</x:v>
      </x:c>
      <x:c r="N54" s="26" t="str">
        <x:v>The World's Largest Loyalty Programs (2026)</x:v>
      </x:c>
      <x:c r="O54" s="26" t="str">
        <x:v>https://retailtechinnovationhub.squarespace.com/s/Capillary-Edition-WLLP-Approved.pdf</x:v>
      </x:c>
      <x:c r="P54" s="26" t="str"/>
    </x:row>
    <x:row r="55">
      <x:c r="A55" t="n">
        <x:f>COUNTIF($F$4:$F$134,"&gt;"&amp;F55)+1</x:f>
        <x:v>51</x:v>
      </x:c>
      <x:c r="B55" s="26" t="str">
        <x:v>Ulta Beauty Rewards</x:v>
      </x:c>
      <x:c r="C55" s="26" t="str">
        <x:v>Ulta Beauty</x:v>
      </x:c>
      <x:c r="D55" s="26" t="str">
        <x:v>Retail &amp; beauty</x:v>
      </x:c>
      <x:c r="E55" s="26" t="str">
        <x:v>United States</x:v>
      </x:c>
      <x:c r="F55" s="28" t="n">
        <x:v>45</x:v>
      </x:c>
      <x:c r="G55" s="26" t="n">
        <x:v>2024</x:v>
      </x:c>
      <x:c r="H55" s="26" t="str">
        <x:v>Active members</x:v>
      </x:c>
      <x:c r="I55" s="26" t="str">
        <x:v>Jan-2025</x:v>
      </x:c>
      <x:c r="J55" s="26" t="str">
        <x:v>Current (≤4 years)</x:v>
      </x:c>
      <x:c r="K55" s="26" t="str">
        <x:v>B</x:v>
      </x:c>
      <x:c r="L55" s="26" t="str">
        <x:v>2026 industry report with cited underlying source</x:v>
      </x:c>
      <x:c r="M55" s="26" t="str">
        <x:v>Ulta Beauty Annual Report, p.6</x:v>
      </x:c>
      <x:c r="N55" s="26" t="str">
        <x:v>The World's Largest Loyalty Programs (2026)</x:v>
      </x:c>
      <x:c r="O55" s="26" t="str">
        <x:v>https://retailtechinnovationhub.squarespace.com/s/Capillary-Edition-WLLP-Approved.pdf</x:v>
      </x:c>
      <x:c r="P55" s="26" t="str"/>
    </x:row>
    <x:row r="56">
      <x:c r="A56" t="n">
        <x:f>COUNTIF($F$4:$F$134,"&gt;"&amp;F56)+1</x:f>
        <x:v>53</x:v>
      </x:c>
      <x:c r="B56" s="26" t="str">
        <x:v>Wendy's Rewards</x:v>
      </x:c>
      <x:c r="C56" s="26" t="str">
        <x:v>The Wendy's Company</x:v>
      </x:c>
      <x:c r="D56" s="26" t="str">
        <x:v>Restaurants &amp; QSR</x:v>
      </x:c>
      <x:c r="E56" s="26" t="str">
        <x:v>North America</x:v>
      </x:c>
      <x:c r="F56" s="28" t="n">
        <x:v>42</x:v>
      </x:c>
      <x:c r="G56" s="26" t="n">
        <x:v>2024</x:v>
      </x:c>
      <x:c r="H56" s="26" t="str">
        <x:v>Members</x:v>
      </x:c>
      <x:c r="I56" s="26" t="str">
        <x:v>Aug-2024</x:v>
      </x:c>
      <x:c r="J56" s="26" t="str">
        <x:v>Current (≤4 years)</x:v>
      </x:c>
      <x:c r="K56" s="26" t="str">
        <x:v>C</x:v>
      </x:c>
      <x:c r="L56" s="26" t="str">
        <x:v>2026 industry report with cited underlying source</x:v>
      </x:c>
      <x:c r="M56" s="26" t="str">
        <x:v>CX Dive</x:v>
      </x:c>
      <x:c r="N56" s="26" t="str">
        <x:v>The World's Largest Loyalty Programs (2026)</x:v>
      </x:c>
      <x:c r="O56" s="26" t="str">
        <x:v>https://retailtechinnovationhub.squarespace.com/s/Capillary-Edition-WLLP-Approved.pdf</x:v>
      </x:c>
      <x:c r="P56" s="26" t="str"/>
    </x:row>
    <x:row r="57">
      <x:c r="A57" t="n">
        <x:f>COUNTIF($F$4:$F$134,"&gt;"&amp;F57)+1</x:f>
        <x:v>54</x:v>
      </x:c>
      <x:c r="B57" s="26" t="str">
        <x:v>ANA Mileage Club</x:v>
      </x:c>
      <x:c r="C57" s="26" t="str">
        <x:v>ANA Holdings</x:v>
      </x:c>
      <x:c r="D57" s="26" t="str">
        <x:v>Airlines</x:v>
      </x:c>
      <x:c r="E57" s="26" t="str">
        <x:v>Japan / Global</x:v>
      </x:c>
      <x:c r="F57" s="28" t="n">
        <x:v>40</x:v>
      </x:c>
      <x:c r="G57" s="26" t="n">
        <x:v>2023</x:v>
      </x:c>
      <x:c r="H57" s="26" t="str">
        <x:v>Members</x:v>
      </x:c>
      <x:c r="I57" s="26" t="str">
        <x:v>2024</x:v>
      </x:c>
      <x:c r="J57" s="26" t="str">
        <x:v>Current (≤4 years)</x:v>
      </x:c>
      <x:c r="K57" s="26" t="str">
        <x:v>B</x:v>
      </x:c>
      <x:c r="L57" s="26" t="str">
        <x:v>2024 airline industry report with cited underlying source</x:v>
      </x:c>
      <x:c r="M57" s="26" t="str">
        <x:v>ANA FY2023 Annual Report</x:v>
      </x:c>
      <x:c r="N57" s="26" t="str">
        <x:v>2024 Big Book of Airline Data</x:v>
      </x:c>
      <x:c r="O57" s="26" t="str">
        <x:v>https://ideaworkscompany.com/wp-content/uploads/2024/12/2024-Big-Book-of-Airline-Data-by-IdeaWorks-1.2.pdf</x:v>
      </x:c>
      <x:c r="P57" s="26" t="str"/>
    </x:row>
    <x:row r="58">
      <x:c r="A58" t="n">
        <x:f>COUNTIF($F$4:$F$134,"&gt;"&amp;F58)+1</x:f>
        <x:v>54</x:v>
      </x:c>
      <x:c r="B58" s="26" t="str">
        <x:v>Avios / IAG loyalty members</x:v>
      </x:c>
      <x:c r="C58" s="26" t="str">
        <x:v>International Airlines Group</x:v>
      </x:c>
      <x:c r="D58" s="26" t="str">
        <x:v>Airlines</x:v>
      </x:c>
      <x:c r="E58" s="26" t="str">
        <x:v>Global</x:v>
      </x:c>
      <x:c r="F58" s="28" t="n">
        <x:v>40</x:v>
      </x:c>
      <x:c r="G58" s="26" t="n">
        <x:v>2023</x:v>
      </x:c>
      <x:c r="H58" s="26" t="str">
        <x:v>Members</x:v>
      </x:c>
      <x:c r="I58" s="26" t="str">
        <x:v>2024</x:v>
      </x:c>
      <x:c r="J58" s="26" t="str">
        <x:v>Current (≤4 years)</x:v>
      </x:c>
      <x:c r="K58" s="26" t="str">
        <x:v>B</x:v>
      </x:c>
      <x:c r="L58" s="26" t="str">
        <x:v>2024 airline industry report with cited underlying source</x:v>
      </x:c>
      <x:c r="M58" s="26" t="str">
        <x:v>IAG Annual Report 2023</x:v>
      </x:c>
      <x:c r="N58" s="26" t="str">
        <x:v>2024 Big Book of Airline Data</x:v>
      </x:c>
      <x:c r="O58" s="26" t="str">
        <x:v>https://ideaworkscompany.com/wp-content/uploads/2024/12/2024-Big-Book-of-Airline-Data-by-IdeaWorks-1.2.pdf</x:v>
      </x:c>
      <x:c r="P58" s="26" t="str"/>
    </x:row>
    <x:row r="59">
      <x:c r="A59" t="n">
        <x:f>COUNTIF($F$4:$F$134,"&gt;"&amp;F59)+1</x:f>
        <x:v>54</x:v>
      </x:c>
      <x:c r="B59" s="26" t="str">
        <x:v>Chipotle Rewards</x:v>
      </x:c>
      <x:c r="C59" s="26" t="str">
        <x:v>Chipotle Mexican Grill</x:v>
      </x:c>
      <x:c r="D59" s="26" t="str">
        <x:v>Restaurants &amp; QSR</x:v>
      </x:c>
      <x:c r="E59" s="26" t="str">
        <x:v>North America</x:v>
      </x:c>
      <x:c r="F59" s="28" t="n">
        <x:v>40</x:v>
      </x:c>
      <x:c r="G59" s="26" t="n">
        <x:v>2024</x:v>
      </x:c>
      <x:c r="H59" s="26" t="str">
        <x:v>Members</x:v>
      </x:c>
      <x:c r="I59" s="26" t="str">
        <x:v>Apr-2024</x:v>
      </x:c>
      <x:c r="J59" s="26" t="str">
        <x:v>Current (≤4 years)</x:v>
      </x:c>
      <x:c r="K59" s="26" t="str">
        <x:v>C</x:v>
      </x:c>
      <x:c r="L59" s="26" t="str">
        <x:v>2026 industry report with cited underlying source</x:v>
      </x:c>
      <x:c r="M59" s="26" t="str">
        <x:v>Hospitality Technology</x:v>
      </x:c>
      <x:c r="N59" s="26" t="str">
        <x:v>The World's Largest Loyalty Programs (2026)</x:v>
      </x:c>
      <x:c r="O59" s="26" t="str">
        <x:v>https://retailtechinnovationhub.squarespace.com/s/Capillary-Edition-WLLP-Approved.pdf</x:v>
      </x:c>
      <x:c r="P59" s="26" t="str"/>
    </x:row>
    <x:row r="60">
      <x:c r="A60" t="n">
        <x:f>COUNTIF($F$4:$F$134,"&gt;"&amp;F60)+1</x:f>
        <x:v>54</x:v>
      </x:c>
      <x:c r="B60" s="26" t="str">
        <x:v>JAL Mileage Bank</x:v>
      </x:c>
      <x:c r="C60" s="26" t="str">
        <x:v>Japan Airlines</x:v>
      </x:c>
      <x:c r="D60" s="26" t="str">
        <x:v>Airlines</x:v>
      </x:c>
      <x:c r="E60" s="26" t="str">
        <x:v>Japan / Global</x:v>
      </x:c>
      <x:c r="F60" s="28" t="n">
        <x:v>40</x:v>
      </x:c>
      <x:c r="G60" s="26" t="n">
        <x:v>2025</x:v>
      </x:c>
      <x:c r="H60" s="26" t="str">
        <x:v>Members (approx.)</x:v>
      </x:c>
      <x:c r="I60" s="26" t="str">
        <x:v>Aug-2025</x:v>
      </x:c>
      <x:c r="J60" s="26" t="str">
        <x:v>Current (≤4 years)</x:v>
      </x:c>
      <x:c r="K60" s="26" t="str">
        <x:v>A</x:v>
      </x:c>
      <x:c r="L60" s="26" t="str">
        <x:v>Official company source</x:v>
      </x:c>
      <x:c r="M60" s="26" t="str">
        <x:v>JAL Report 2025</x:v>
      </x:c>
      <x:c r="N60" s="26" t="str">
        <x:v>JAL Report 2025</x:v>
      </x:c>
      <x:c r="O60" s="26" t="str">
        <x:v>https://www.jal.com/sites/en/sustainability/report/pdf_sites/index_2025b.pdf</x:v>
      </x:c>
      <x:c r="P60" s="26" t="str">
        <x:v>Alternative: 37m (Members, 2022, quality B)</x:v>
      </x:c>
    </x:row>
    <x:row r="61">
      <x:c r="A61" t="n">
        <x:f>COUNTIF($F$4:$F$134,"&gt;"&amp;F61)+1</x:f>
        <x:v>54</x:v>
      </x:c>
      <x:c r="B61" s="26" t="str">
        <x:v>Sephora Beauty Insider</x:v>
      </x:c>
      <x:c r="C61" s="26" t="str">
        <x:v>Sephora / LVMH</x:v>
      </x:c>
      <x:c r="D61" s="26" t="str">
        <x:v>Retail &amp; beauty</x:v>
      </x:c>
      <x:c r="E61" s="26" t="str">
        <x:v>North America / Global</x:v>
      </x:c>
      <x:c r="F61" s="28" t="n">
        <x:v>40</x:v>
      </x:c>
      <x:c r="G61" s="26" t="n">
        <x:v>2024</x:v>
      </x:c>
      <x:c r="H61" s="26" t="str">
        <x:v>Members</x:v>
      </x:c>
      <x:c r="I61" s="26" t="str">
        <x:v>Sep-2024</x:v>
      </x:c>
      <x:c r="J61" s="26" t="str">
        <x:v>Current (≤4 years)</x:v>
      </x:c>
      <x:c r="K61" s="26" t="str">
        <x:v>C</x:v>
      </x:c>
      <x:c r="L61" s="26" t="str">
        <x:v>2026 industry report with cited underlying source</x:v>
      </x:c>
      <x:c r="M61" s="26" t="str">
        <x:v>Modern Retail</x:v>
      </x:c>
      <x:c r="N61" s="26" t="str">
        <x:v>The World's Largest Loyalty Programs (2026)</x:v>
      </x:c>
      <x:c r="O61" s="26" t="str">
        <x:v>https://retailtechinnovationhub.squarespace.com/s/Capillary-Edition-WLLP-Approved.pdf</x:v>
      </x:c>
      <x:c r="P61" s="26" t="str"/>
    </x:row>
    <x:row r="62">
      <x:c r="A62" t="n">
        <x:f>COUNTIF($F$4:$F$134,"&gt;"&amp;F62)+1</x:f>
        <x:v>54</x:v>
      </x:c>
      <x:c r="B62" s="26" t="str">
        <x:v>Spin Premia</x:v>
      </x:c>
      <x:c r="C62" s="26" t="str">
        <x:v>FEMSA</x:v>
      </x:c>
      <x:c r="D62" s="26" t="str">
        <x:v>Coalition &amp; fintech</x:v>
      </x:c>
      <x:c r="E62" s="26" t="str">
        <x:v>Mexico</x:v>
      </x:c>
      <x:c r="F62" s="28" t="n">
        <x:v>40</x:v>
      </x:c>
      <x:c r="G62" s="26" t="n">
        <x:v>2024</x:v>
      </x:c>
      <x:c r="H62" s="26" t="str">
        <x:v>Users / members</x:v>
      </x:c>
      <x:c r="I62" s="26" t="str">
        <x:v>Mar-2024</x:v>
      </x:c>
      <x:c r="J62" s="26" t="str">
        <x:v>Current (≤4 years)</x:v>
      </x:c>
      <x:c r="K62" s="26" t="str">
        <x:v>C</x:v>
      </x:c>
      <x:c r="L62" s="26" t="str">
        <x:v>2026 industry report with cited underlying source</x:v>
      </x:c>
      <x:c r="M62" s="26" t="str">
        <x:v>The Wise Marketer</x:v>
      </x:c>
      <x:c r="N62" s="26" t="str">
        <x:v>The World's Largest Loyalty Programs (2026)</x:v>
      </x:c>
      <x:c r="O62" s="26" t="str">
        <x:v>https://retailtechinnovationhub.squarespace.com/s/Capillary-Edition-WLLP-Approved.pdf</x:v>
      </x:c>
      <x:c r="P62" s="26" t="str"/>
    </x:row>
    <x:row r="63">
      <x:c r="A63" t="n">
        <x:f>COUNTIF($F$4:$F$134,"&gt;"&amp;F63)+1</x:f>
        <x:v>60</x:v>
      </x:c>
      <x:c r="B63" s="26" t="str">
        <x:v>Miles &amp; More</x:v>
      </x:c>
      <x:c r="C63" s="26" t="str">
        <x:v>Lufthansa Group</x:v>
      </x:c>
      <x:c r="D63" s="26" t="str">
        <x:v>Airlines</x:v>
      </x:c>
      <x:c r="E63" s="26" t="str">
        <x:v>Global</x:v>
      </x:c>
      <x:c r="F63" s="28" t="n">
        <x:v>39</x:v>
      </x:c>
      <x:c r="G63" s="26" t="n">
        <x:v>2026</x:v>
      </x:c>
      <x:c r="H63" s="26" t="str">
        <x:v>Members (over)</x:v>
      </x:c>
      <x:c r="I63" s="26" t="str">
        <x:v>Mar-2026</x:v>
      </x:c>
      <x:c r="J63" s="26" t="str">
        <x:v>Current (≤4 years)</x:v>
      </x:c>
      <x:c r="K63" s="26" t="str">
        <x:v>A</x:v>
      </x:c>
      <x:c r="L63" s="26" t="str">
        <x:v>Official company source</x:v>
      </x:c>
      <x:c r="M63" s="26" t="str">
        <x:v>Miles &amp; More and ITA Airways integration release</x:v>
      </x:c>
      <x:c r="N63" s="26" t="str">
        <x:v>Miles &amp; More and ITA Airways integration release</x:v>
      </x:c>
      <x:c r="O63" s="26" t="str">
        <x:v>https://www.miles-and-more.com/be/en/program/news/global_ita_award_flight_programme_press_2603.html</x:v>
      </x:c>
      <x:c r="P63" s="26" t="str">
        <x:v>Alternative: 36m (Members, 2025, quality B)</x:v>
      </x:c>
    </x:row>
    <x:row r="64">
      <x:c r="A64" t="n">
        <x:f>COUNTIF($F$4:$F$134,"&gt;"&amp;F64)+1</x:f>
        <x:v>60</x:v>
      </x:c>
      <x:c r="B64" s="26" t="str">
        <x:v>TFG Rewards</x:v>
      </x:c>
      <x:c r="C64" s="26" t="str">
        <x:v>The Foschini Group</x:v>
      </x:c>
      <x:c r="D64" s="26" t="str">
        <x:v>Retail &amp; consumer brands</x:v>
      </x:c>
      <x:c r="E64" s="26" t="str">
        <x:v>Southern Africa</x:v>
      </x:c>
      <x:c r="F64" s="28" t="n">
        <x:v>39</x:v>
      </x:c>
      <x:c r="G64" s="26" t="n">
        <x:v>2025</x:v>
      </x:c>
      <x:c r="H64" s="26" t="str">
        <x:v>Members</x:v>
      </x:c>
      <x:c r="I64" s="26" t="str">
        <x:v>Mar-2025</x:v>
      </x:c>
      <x:c r="J64" s="26" t="str">
        <x:v>Current (≤4 years)</x:v>
      </x:c>
      <x:c r="K64" s="26" t="str">
        <x:v>B</x:v>
      </x:c>
      <x:c r="L64" s="26" t="str">
        <x:v>2026 industry report with cited underlying source</x:v>
      </x:c>
      <x:c r="M64" s="26" t="str">
        <x:v>TFG website</x:v>
      </x:c>
      <x:c r="N64" s="26" t="str">
        <x:v>The World's Largest Loyalty Programs (2026)</x:v>
      </x:c>
      <x:c r="O64" s="26" t="str">
        <x:v>https://retailtechinnovationhub.squarespace.com/s/Capillary-Edition-WLLP-Approved.pdf</x:v>
      </x:c>
      <x:c r="P64" s="26" t="str"/>
    </x:row>
    <x:row r="65">
      <x:c r="A65" t="n">
        <x:f>COUNTIF($F$4:$F$134,"&gt;"&amp;F65)+1</x:f>
        <x:v>62</x:v>
      </x:c>
      <x:c r="B65" s="26" t="str">
        <x:v>AARP Member Benefits</x:v>
      </x:c>
      <x:c r="C65" s="26" t="str">
        <x:v>AARP</x:v>
      </x:c>
      <x:c r="D65" s="26" t="str">
        <x:v>Membership &amp; services</x:v>
      </x:c>
      <x:c r="E65" s="26" t="str">
        <x:v>United States</x:v>
      </x:c>
      <x:c r="F65" s="28" t="n">
        <x:v>38</x:v>
      </x:c>
      <x:c r="G65" s="26" t="n">
        <x:v>2025</x:v>
      </x:c>
      <x:c r="H65" s="26" t="str">
        <x:v>Members</x:v>
      </x:c>
      <x:c r="I65" s="26" t="str">
        <x:v>Apr-2025</x:v>
      </x:c>
      <x:c r="J65" s="26" t="str">
        <x:v>Current (≤4 years)</x:v>
      </x:c>
      <x:c r="K65" s="26" t="str">
        <x:v>B</x:v>
      </x:c>
      <x:c r="L65" s="26" t="str">
        <x:v>2026 industry report with cited underlying source</x:v>
      </x:c>
      <x:c r="M65" s="26" t="str">
        <x:v>AARP website</x:v>
      </x:c>
      <x:c r="N65" s="26" t="str">
        <x:v>The World's Largest Loyalty Programs (2026)</x:v>
      </x:c>
      <x:c r="O65" s="26" t="str">
        <x:v>https://retailtechinnovationhub.squarespace.com/s/Capillary-Edition-WLLP-Approved.pdf</x:v>
      </x:c>
      <x:c r="P65" s="26" t="str"/>
    </x:row>
    <x:row r="66">
      <x:c r="A66" t="n">
        <x:f>COUNTIF($F$4:$F$134,"&gt;"&amp;F66)+1</x:f>
        <x:v>63</x:v>
      </x:c>
      <x:c r="B66" s="26" t="str">
        <x:v>Emirates Skywards</x:v>
      </x:c>
      <x:c r="C66" s="26" t="str">
        <x:v>Emirates Group</x:v>
      </x:c>
      <x:c r="D66" s="26" t="str">
        <x:v>Airlines</x:v>
      </x:c>
      <x:c r="E66" s="26" t="str">
        <x:v>Global</x:v>
      </x:c>
      <x:c r="F66" s="28" t="n">
        <x:v>37</x:v>
      </x:c>
      <x:c r="G66" s="26" t="n">
        <x:v>2025</x:v>
      </x:c>
      <x:c r="H66" s="26" t="str">
        <x:v>Members (over)</x:v>
      </x:c>
      <x:c r="I66" s="26" t="str">
        <x:v>Sep-2025</x:v>
      </x:c>
      <x:c r="J66" s="26" t="str">
        <x:v>Current (≤4 years)</x:v>
      </x:c>
      <x:c r="K66" s="26" t="str">
        <x:v>A</x:v>
      </x:c>
      <x:c r="L66" s="26" t="str">
        <x:v>Official company source</x:v>
      </x:c>
      <x:c r="M66" s="26" t="str">
        <x:v>Skywards celebrates 25 years</x:v>
      </x:c>
      <x:c r="N66" s="26" t="str">
        <x:v>Skywards celebrates 25 years</x:v>
      </x:c>
      <x:c r="O66" s="26" t="str">
        <x:v>https://www.emirates.com/media-centre/soaring-into-a-silver-jubilee---emirates-skywards-turns-25/</x:v>
      </x:c>
      <x:c r="P66" s="26" t="str">
        <x:v>Alternative: 37m (Members, 2025, quality B); Alternative: 37m (Members, 2025, quality A)</x:v>
      </x:c>
    </x:row>
    <x:row r="67">
      <x:c r="A67" t="n">
        <x:f>COUNTIF($F$4:$F$134,"&gt;"&amp;F67)+1</x:f>
        <x:v>63</x:v>
      </x:c>
      <x:c r="B67" s="26" t="str">
        <x:v>My Bath &amp; Body Works Rewards</x:v>
      </x:c>
      <x:c r="C67" s="26" t="str">
        <x:v>Bath &amp; Body Works</x:v>
      </x:c>
      <x:c r="D67" s="26" t="str">
        <x:v>Retail &amp; beauty</x:v>
      </x:c>
      <x:c r="E67" s="26" t="str">
        <x:v>United States</x:v>
      </x:c>
      <x:c r="F67" s="28" t="n">
        <x:v>37</x:v>
      </x:c>
      <x:c r="G67" s="26" t="n">
        <x:v>2024</x:v>
      </x:c>
      <x:c r="H67" s="26" t="str">
        <x:v>Members</x:v>
      </x:c>
      <x:c r="I67" s="26" t="str">
        <x:v>Jun-2024</x:v>
      </x:c>
      <x:c r="J67" s="26" t="str">
        <x:v>Current (≤4 years)</x:v>
      </x:c>
      <x:c r="K67" s="26" t="str">
        <x:v>C</x:v>
      </x:c>
      <x:c r="L67" s="26" t="str">
        <x:v>2026 industry report with cited underlying source</x:v>
      </x:c>
      <x:c r="M67" s="26" t="str">
        <x:v>CX Dive</x:v>
      </x:c>
      <x:c r="N67" s="26" t="str">
        <x:v>The World's Largest Loyalty Programs (2026)</x:v>
      </x:c>
      <x:c r="O67" s="26" t="str">
        <x:v>https://retailtechinnovationhub.squarespace.com/s/Capillary-Edition-WLLP-Approved.pdf</x:v>
      </x:c>
      <x:c r="P67" s="26" t="str"/>
    </x:row>
    <x:row r="68">
      <x:c r="A68" t="n">
        <x:f>COUNTIF($F$4:$F$134,"&gt;"&amp;F68)+1</x:f>
        <x:v>65</x:v>
      </x:c>
      <x:c r="B68" s="26" t="str">
        <x:v>Domino's Rewards</x:v>
      </x:c>
      <x:c r="C68" s="26" t="str">
        <x:v>Domino's Pizza</x:v>
      </x:c>
      <x:c r="D68" s="26" t="str">
        <x:v>Restaurants &amp; QSR</x:v>
      </x:c>
      <x:c r="E68" s="26" t="str">
        <x:v>United States</x:v>
      </x:c>
      <x:c r="F68" s="28" t="n">
        <x:v>36</x:v>
      </x:c>
      <x:c r="G68" s="26" t="n">
        <x:v>2024</x:v>
      </x:c>
      <x:c r="H68" s="26" t="str">
        <x:v>Members</x:v>
      </x:c>
      <x:c r="I68" s="26" t="str">
        <x:v>Dec-2024</x:v>
      </x:c>
      <x:c r="J68" s="26" t="str">
        <x:v>Current (≤4 years)</x:v>
      </x:c>
      <x:c r="K68" s="26" t="str">
        <x:v>B</x:v>
      </x:c>
      <x:c r="L68" s="26" t="str">
        <x:v>2026 industry report with cited underlying source</x:v>
      </x:c>
      <x:c r="M68" s="26" t="str">
        <x:v>Domino's Annual Report, p.4</x:v>
      </x:c>
      <x:c r="N68" s="26" t="str">
        <x:v>The World's Largest Loyalty Programs (2026)</x:v>
      </x:c>
      <x:c r="O68" s="26" t="str">
        <x:v>https://retailtechinnovationhub.squarespace.com/s/Capillary-Edition-WLLP-Approved.pdf</x:v>
      </x:c>
      <x:c r="P68" s="26" t="str"/>
    </x:row>
    <x:row r="69">
      <x:c r="A69" t="n">
        <x:f>COUNTIF($F$4:$F$134,"&gt;"&amp;F69)+1</x:f>
        <x:v>66</x:v>
      </x:c>
      <x:c r="B69" s="26" t="str">
        <x:v>PAYBACK Germany</x:v>
      </x:c>
      <x:c r="C69" s="26" t="str">
        <x:v>PAYBACK Group / American Express</x:v>
      </x:c>
      <x:c r="D69" s="26" t="str">
        <x:v>Coalition &amp; points</x:v>
      </x:c>
      <x:c r="E69" s="26" t="str">
        <x:v>Germany</x:v>
      </x:c>
      <x:c r="F69" s="28" t="n">
        <x:v>35</x:v>
      </x:c>
      <x:c r="G69" s="26" t="n">
        <x:v>2025</x:v>
      </x:c>
      <x:c r="H69" s="26" t="str">
        <x:v>Active users</x:v>
      </x:c>
      <x:c r="I69" s="26" t="str">
        <x:v>Sep-2025</x:v>
      </x:c>
      <x:c r="J69" s="26" t="str">
        <x:v>Current (≤4 years)</x:v>
      </x:c>
      <x:c r="K69" s="26" t="str">
        <x:v>A</x:v>
      </x:c>
      <x:c r="L69" s="26" t="str">
        <x:v>Official company source</x:v>
      </x:c>
      <x:c r="M69" s="26" t="str">
        <x:v>PAYBACK 2025 annual review</x:v>
      </x:c>
      <x:c r="N69" s="26" t="str">
        <x:v>PAYBACK 2025 annual review</x:v>
      </x:c>
      <x:c r="O69" s="26" t="str">
        <x:v>https://www.payback.group/en/press/press-releases/detail/balance-sheet-payback-achieves-new-user-and-collection-record</x:v>
      </x:c>
      <x:c r="P69" s="26" t="str"/>
    </x:row>
    <x:row r="70">
      <x:c r="A70" t="n">
        <x:f>COUNTIF($F$4:$F$134,"&gt;"&amp;F70)+1</x:f>
        <x:v>66</x:v>
      </x:c>
      <x:c r="B70" s="26" t="str">
        <x:v>Shell Fuel Rewards</x:v>
      </x:c>
      <x:c r="C70" s="26" t="str">
        <x:v>Shell USA / PDI Technologies</x:v>
      </x:c>
      <x:c r="D70" s="26" t="str">
        <x:v>Fuel &amp; convenience</x:v>
      </x:c>
      <x:c r="E70" s="26" t="str">
        <x:v>United States</x:v>
      </x:c>
      <x:c r="F70" s="28" t="n">
        <x:v>35</x:v>
      </x:c>
      <x:c r="G70" s="26" t="n">
        <x:v>2025</x:v>
      </x:c>
      <x:c r="H70" s="26" t="str">
        <x:v>Members</x:v>
      </x:c>
      <x:c r="I70" s="26" t="str">
        <x:v>Apr-2025</x:v>
      </x:c>
      <x:c r="J70" s="26" t="str">
        <x:v>Current (≤4 years)</x:v>
      </x:c>
      <x:c r="K70" s="26" t="str">
        <x:v>C</x:v>
      </x:c>
      <x:c r="L70" s="26" t="str">
        <x:v>2026 industry report with cited underlying source</x:v>
      </x:c>
      <x:c r="M70" s="26" t="str">
        <x:v>NACS</x:v>
      </x:c>
      <x:c r="N70" s="26" t="str">
        <x:v>The World's Largest Loyalty Programs (2026)</x:v>
      </x:c>
      <x:c r="O70" s="26" t="str">
        <x:v>https://retailtechinnovationhub.squarespace.com/s/Capillary-Edition-WLLP-Approved.pdf</x:v>
      </x:c>
      <x:c r="P70" s="26" t="str"/>
    </x:row>
    <x:row r="71">
      <x:c r="A71" t="n">
        <x:f>COUNTIF($F$4:$F$134,"&gt;"&amp;F71)+1</x:f>
        <x:v>68</x:v>
      </x:c>
      <x:c r="B71" s="26" t="str">
        <x:v>Xtra Savings</x:v>
      </x:c>
      <x:c r="C71" s="26" t="str">
        <x:v>Shoprite Holdings</x:v>
      </x:c>
      <x:c r="D71" s="26" t="str">
        <x:v>Retail &amp; grocery</x:v>
      </x:c>
      <x:c r="E71" s="26" t="str">
        <x:v>Southern Africa</x:v>
      </x:c>
      <x:c r="F71" s="28" t="n">
        <x:v>34</x:v>
      </x:c>
      <x:c r="G71" s="26" t="n">
        <x:v>2025</x:v>
      </x:c>
      <x:c r="H71" s="26" t="str">
        <x:v>Members</x:v>
      </x:c>
      <x:c r="I71" s="26" t="str">
        <x:v>Sep-2025</x:v>
      </x:c>
      <x:c r="J71" s="26" t="str">
        <x:v>Current (≤4 years)</x:v>
      </x:c>
      <x:c r="K71" s="26" t="str">
        <x:v>B</x:v>
      </x:c>
      <x:c r="L71" s="26" t="str">
        <x:v>2026 industry report with cited underlying source</x:v>
      </x:c>
      <x:c r="M71" s="26" t="str">
        <x:v>Shoprite press release</x:v>
      </x:c>
      <x:c r="N71" s="26" t="str">
        <x:v>The World's Largest Loyalty Programs (2026)</x:v>
      </x:c>
      <x:c r="O71" s="26" t="str">
        <x:v>https://retailtechinnovationhub.squarespace.com/s/Capillary-Edition-WLLP-Approved.pdf</x:v>
      </x:c>
      <x:c r="P71" s="26" t="str"/>
    </x:row>
    <x:row r="72">
      <x:c r="A72" t="n">
        <x:f>COUNTIF($F$4:$F$134,"&gt;"&amp;F72)+1</x:f>
        <x:v>69</x:v>
      </x:c>
      <x:c r="B72" s="26" t="str">
        <x:v>SpringPass</x:v>
      </x:c>
      <x:c r="C72" s="26" t="str">
        <x:v>Spring Airlines</x:v>
      </x:c>
      <x:c r="D72" s="26" t="str">
        <x:v>Airlines</x:v>
      </x:c>
      <x:c r="E72" s="26" t="str">
        <x:v>China / Asia</x:v>
      </x:c>
      <x:c r="F72" s="28" t="n">
        <x:v>33</x:v>
      </x:c>
      <x:c r="G72" s="26" t="n">
        <x:v>2023</x:v>
      </x:c>
      <x:c r="H72" s="26" t="str">
        <x:v>Members</x:v>
      </x:c>
      <x:c r="I72" s="26" t="str">
        <x:v>2024</x:v>
      </x:c>
      <x:c r="J72" s="26" t="str">
        <x:v>Current (≤4 years)</x:v>
      </x:c>
      <x:c r="K72" s="26" t="str">
        <x:v>B</x:v>
      </x:c>
      <x:c r="L72" s="26" t="str">
        <x:v>2024 airline industry report with cited underlying source</x:v>
      </x:c>
      <x:c r="M72" s="26" t="str">
        <x:v>Spring Airlines Annual Report 2023</x:v>
      </x:c>
      <x:c r="N72" s="26" t="str">
        <x:v>2024 Big Book of Airline Data</x:v>
      </x:c>
      <x:c r="O72" s="26" t="str">
        <x:v>https://ideaworkscompany.com/wp-content/uploads/2024/12/2024-Big-Book-of-Airline-Data-by-IdeaWorks-1.2.pdf</x:v>
      </x:c>
      <x:c r="P72" s="26" t="str"/>
    </x:row>
    <x:row r="73">
      <x:c r="A73" t="n">
        <x:f>COUNTIF($F$4:$F$134,"&gt;"&amp;F73)+1</x:f>
        <x:v>70</x:v>
      </x:c>
      <x:c r="B73" s="26" t="str">
        <x:v>GHA DISCOVERY</x:v>
      </x:c>
      <x:c r="C73" s="26" t="str">
        <x:v>Global Hotel Alliance</x:v>
      </x:c>
      <x:c r="D73" s="26" t="str">
        <x:v>Hotels</x:v>
      </x:c>
      <x:c r="E73" s="26" t="str">
        <x:v>Global</x:v>
      </x:c>
      <x:c r="F73" s="28" t="n">
        <x:v>32</x:v>
      </x:c>
      <x:c r="G73" s="26" t="n">
        <x:v>2025</x:v>
      </x:c>
      <x:c r="H73" s="26" t="str">
        <x:v>Members (over)</x:v>
      </x:c>
      <x:c r="I73" s="26" t="str">
        <x:v>Oct-2025</x:v>
      </x:c>
      <x:c r="J73" s="26" t="str">
        <x:v>Current (≤4 years)</x:v>
      </x:c>
      <x:c r="K73" s="26" t="str">
        <x:v>A</x:v>
      </x:c>
      <x:c r="L73" s="26" t="str">
        <x:v>Official company source</x:v>
      </x:c>
      <x:c r="M73" s="26" t="str">
        <x:v>GHA Q3 2025 performance release</x:v>
      </x:c>
      <x:c r="N73" s="26" t="str">
        <x:v>GHA Q3 2025 performance release</x:v>
      </x:c>
      <x:c r="O73" s="26" t="str">
        <x:v>https://www.ghadiscovery.com/content/download/273034/file/GLOBAL%20HOTEL%20ALLIANCE%20REPORTS%20SOLID%20Q3%20PERFORMANCE.pdf?inline=1&amp;version=1</x:v>
      </x:c>
      <x:c r="P73" s="26" t="str">
        <x:v>Alternative: 30m (Members, 2025, quality B)</x:v>
      </x:c>
    </x:row>
    <x:row r="74">
      <x:c r="A74" t="n">
        <x:f>COUNTIF($F$4:$F$134,"&gt;"&amp;F74)+1</x:f>
        <x:v>71</x:v>
      </x:c>
      <x:c r="B74" s="26" t="str">
        <x:v>Flying Blue</x:v>
      </x:c>
      <x:c r="C74" s="26" t="str">
        <x:v>Air France-KLM</x:v>
      </x:c>
      <x:c r="D74" s="26" t="str">
        <x:v>Airlines</x:v>
      </x:c>
      <x:c r="E74" s="26" t="str">
        <x:v>Global</x:v>
      </x:c>
      <x:c r="F74" s="28" t="n">
        <x:v>30</x:v>
      </x:c>
      <x:c r="G74" s="26" t="n">
        <x:v>2025</x:v>
      </x:c>
      <x:c r="H74" s="26" t="str">
        <x:v>Members (over)</x:v>
      </x:c>
      <x:c r="I74" s="26" t="str">
        <x:v>Jun-2025</x:v>
      </x:c>
      <x:c r="J74" s="26" t="str">
        <x:v>Current (≤4 years)</x:v>
      </x:c>
      <x:c r="K74" s="26" t="str">
        <x:v>A</x:v>
      </x:c>
      <x:c r="L74" s="26" t="str">
        <x:v>Official company source</x:v>
      </x:c>
      <x:c r="M74" s="26" t="str">
        <x:v>Flying Blue company profile</x:v>
      </x:c>
      <x:c r="N74" s="26" t="str">
        <x:v>Flying Blue company profile</x:v>
      </x:c>
      <x:c r="O74" s="26" t="str">
        <x:v>https://www.airfranceklm.com/en/our-strengths/flying-blue-0</x:v>
      </x:c>
      <x:c r="P74" s="26" t="str">
        <x:v>Alternative: 30m (Members, 2025, quality B)</x:v>
      </x:c>
    </x:row>
    <x:row r="75">
      <x:c r="A75" t="n">
        <x:f>COUNTIF($F$4:$F$134,"&gt;"&amp;F75)+1</x:f>
        <x:v>71</x:v>
      </x:c>
      <x:c r="B75" s="26" t="str">
        <x:v>Mileage Plan</x:v>
      </x:c>
      <x:c r="C75" s="26" t="str">
        <x:v>Alaska Air Group</x:v>
      </x:c>
      <x:c r="D75" s="26" t="str">
        <x:v>Airlines</x:v>
      </x:c>
      <x:c r="E75" s="26" t="str">
        <x:v>North America</x:v>
      </x:c>
      <x:c r="F75" s="28" t="n">
        <x:v>30</x:v>
      </x:c>
      <x:c r="G75" s="26" t="n">
        <x:v>2023</x:v>
      </x:c>
      <x:c r="H75" s="26" t="str">
        <x:v>Members (estimate)</x:v>
      </x:c>
      <x:c r="I75" s="26" t="str">
        <x:v>2024</x:v>
      </x:c>
      <x:c r="J75" s="26" t="str">
        <x:v>Current (≤4 years)</x:v>
      </x:c>
      <x:c r="K75" s="26" t="str">
        <x:v>C</x:v>
      </x:c>
      <x:c r="L75" s="26" t="str">
        <x:v>2024 airline industry report with cited underlying source</x:v>
      </x:c>
      <x:c r="M75" s="26" t="str">
        <x:v>Alaska annual report plus IdeaWorks estimate</x:v>
      </x:c>
      <x:c r="N75" s="26" t="str">
        <x:v>2024 Big Book of Airline Data</x:v>
      </x:c>
      <x:c r="O75" s="26" t="str">
        <x:v>https://ideaworkscompany.com/wp-content/uploads/2024/12/2024-Big-Book-of-Airline-Data-by-IdeaWorks-1.2.pdf</x:v>
      </x:c>
      <x:c r="P75" s="26" t="str"/>
    </x:row>
    <x:row r="76">
      <x:c r="A76" t="n">
        <x:f>COUNTIF($F$4:$F$134,"&gt;"&amp;F76)+1</x:f>
        <x:v>71</x:v>
      </x:c>
      <x:c r="B76" s="26" t="str">
        <x:v>MyLowe's Rewards &amp; MVPs Pro Rewards</x:v>
      </x:c>
      <x:c r="C76" s="26" t="str">
        <x:v>Lowe's Companies</x:v>
      </x:c>
      <x:c r="D76" s="26" t="str">
        <x:v>Retail &amp; home improvement</x:v>
      </x:c>
      <x:c r="E76" s="26" t="str">
        <x:v>United States</x:v>
      </x:c>
      <x:c r="F76" s="28" t="n">
        <x:v>30</x:v>
      </x:c>
      <x:c r="G76" s="26" t="n">
        <x:v>2025</x:v>
      </x:c>
      <x:c r="H76" s="26" t="str">
        <x:v>Members</x:v>
      </x:c>
      <x:c r="I76" s="26" t="str">
        <x:v>May-2025</x:v>
      </x:c>
      <x:c r="J76" s="26" t="str">
        <x:v>Current (≤4 years)</x:v>
      </x:c>
      <x:c r="K76" s="26" t="str">
        <x:v>B</x:v>
      </x:c>
      <x:c r="L76" s="26" t="str">
        <x:v>2026 industry report with cited underlying source</x:v>
      </x:c>
      <x:c r="M76" s="26" t="str">
        <x:v>Lowe's Annual Report, p.4</x:v>
      </x:c>
      <x:c r="N76" s="26" t="str">
        <x:v>The World's Largest Loyalty Programs (2026)</x:v>
      </x:c>
      <x:c r="O76" s="26" t="str">
        <x:v>https://retailtechinnovationhub.squarespace.com/s/Capillary-Edition-WLLP-Approved.pdf</x:v>
      </x:c>
      <x:c r="P76" s="26" t="str"/>
    </x:row>
    <x:row r="77">
      <x:c r="A77" t="n">
        <x:f>COUNTIF($F$4:$F$134,"&gt;"&amp;F77)+1</x:f>
        <x:v>71</x:v>
      </x:c>
      <x:c r="B77" s="26" t="str">
        <x:v>Subway MVP Rewards</x:v>
      </x:c>
      <x:c r="C77" s="26" t="str">
        <x:v>Subway</x:v>
      </x:c>
      <x:c r="D77" s="26" t="str">
        <x:v>Restaurants &amp; QSR</x:v>
      </x:c>
      <x:c r="E77" s="26" t="str">
        <x:v>North America</x:v>
      </x:c>
      <x:c r="F77" s="28" t="n">
        <x:v>30</x:v>
      </x:c>
      <x:c r="G77" s="26" t="n">
        <x:v>2023</x:v>
      </x:c>
      <x:c r="H77" s="26" t="str">
        <x:v>Members</x:v>
      </x:c>
      <x:c r="I77" s="26" t="str">
        <x:v>Sep-2023</x:v>
      </x:c>
      <x:c r="J77" s="26" t="str">
        <x:v>Current (≤4 years)</x:v>
      </x:c>
      <x:c r="K77" s="26" t="str">
        <x:v>B</x:v>
      </x:c>
      <x:c r="L77" s="26" t="str">
        <x:v>2026 industry report with cited underlying source</x:v>
      </x:c>
      <x:c r="M77" s="26" t="str">
        <x:v>Subway press release</x:v>
      </x:c>
      <x:c r="N77" s="26" t="str">
        <x:v>The World's Largest Loyalty Programs (2026)</x:v>
      </x:c>
      <x:c r="O77" s="26" t="str">
        <x:v>https://retailtechinnovationhub.squarespace.com/s/Capillary-Edition-WLLP-Approved.pdf</x:v>
      </x:c>
      <x:c r="P77" s="26" t="str"/>
    </x:row>
    <x:row r="78">
      <x:c r="A78" t="n">
        <x:f>COUNTIF($F$4:$F$134,"&gt;"&amp;F78)+1</x:f>
        <x:v>75</x:v>
      </x:c>
      <x:c r="B78" s="26" t="str">
        <x:v>Ahold Delhaize USA loyalty programs</x:v>
      </x:c>
      <x:c r="C78" s="26" t="str">
        <x:v>Ahold Delhaize</x:v>
      </x:c>
      <x:c r="D78" s="26" t="str">
        <x:v>Retail &amp; grocery</x:v>
      </x:c>
      <x:c r="E78" s="26" t="str">
        <x:v>United States</x:v>
      </x:c>
      <x:c r="F78" s="28" t="n">
        <x:v>29</x:v>
      </x:c>
      <x:c r="G78" s="26" t="n">
        <x:v>2024</x:v>
      </x:c>
      <x:c r="H78" s="26" t="str">
        <x:v>Combined loyalty households / members</x:v>
      </x:c>
      <x:c r="I78" s="26" t="str">
        <x:v>Oct-2024</x:v>
      </x:c>
      <x:c r="J78" s="26" t="str">
        <x:v>Current (≤4 years)</x:v>
      </x:c>
      <x:c r="K78" s="26" t="str">
        <x:v>B</x:v>
      </x:c>
      <x:c r="L78" s="26" t="str">
        <x:v>2026 industry report with cited underlying source</x:v>
      </x:c>
      <x:c r="M78" s="26" t="str">
        <x:v>Ahold Delhaize Annual Report, pp.45–46</x:v>
      </x:c>
      <x:c r="N78" s="26" t="str">
        <x:v>The World's Largest Loyalty Programs (2026)</x:v>
      </x:c>
      <x:c r="O78" s="26" t="str">
        <x:v>https://retailtechinnovationhub.squarespace.com/s/Capillary-Edition-WLLP-Approved.pdf</x:v>
      </x:c>
      <x:c r="P78" s="26" t="str"/>
    </x:row>
    <x:row r="79">
      <x:c r="A79" t="n">
        <x:f>COUNTIF($F$4:$F$134,"&gt;"&amp;F79)+1</x:f>
        <x:v>75</x:v>
      </x:c>
      <x:c r="B79" s="26" t="str">
        <x:v>AirAsia rewards</x:v>
      </x:c>
      <x:c r="C79" s="26" t="str">
        <x:v>Capital A / AirAsia MOVE</x:v>
      </x:c>
      <x:c r="D79" s="26" t="str">
        <x:v>Airlines</x:v>
      </x:c>
      <x:c r="E79" s="26" t="str">
        <x:v>Asia-Pacific</x:v>
      </x:c>
      <x:c r="F79" s="28" t="n">
        <x:v>29</x:v>
      </x:c>
      <x:c r="G79" s="26" t="n">
        <x:v>2022</x:v>
      </x:c>
      <x:c r="H79" s="26" t="str">
        <x:v>Members</x:v>
      </x:c>
      <x:c r="I79" s="26" t="str">
        <x:v>2023</x:v>
      </x:c>
      <x:c r="J79" s="26" t="str">
        <x:v>Current (≤4 years)</x:v>
      </x:c>
      <x:c r="K79" s="26" t="str">
        <x:v>B</x:v>
      </x:c>
      <x:c r="L79" s="26" t="str">
        <x:v>2024 airline industry report with cited underlying source</x:v>
      </x:c>
      <x:c r="M79" s="26" t="str">
        <x:v>Capital A Annual Report 2022</x:v>
      </x:c>
      <x:c r="N79" s="26" t="str">
        <x:v>2024 Big Book of Airline Data</x:v>
      </x:c>
      <x:c r="O79" s="26" t="str">
        <x:v>https://ideaworkscompany.com/wp-content/uploads/2024/12/2024-Big-Book-of-Airline-Data-by-IdeaWorks-1.2.pdf</x:v>
      </x:c>
      <x:c r="P79" s="26" t="str">
        <x:v>Newer underlying figure than the older 36m disclosure in the global report. | Alternative: 36m (Members, 2019, quality B)</x:v>
      </x:c>
    </x:row>
    <x:row r="80">
      <x:c r="A80" t="n">
        <x:f>COUNTIF($F$4:$F$134,"&gt;"&amp;F80)+1</x:f>
        <x:v>77</x:v>
      </x:c>
      <x:c r="B80" s="26" t="str">
        <x:v>Nectar</x:v>
      </x:c>
      <x:c r="C80" s="26" t="str">
        <x:v>J Sainsbury plc</x:v>
      </x:c>
      <x:c r="D80" s="26" t="str">
        <x:v>Coalition &amp; points</x:v>
      </x:c>
      <x:c r="E80" s="26" t="str">
        <x:v>United Kingdom</x:v>
      </x:c>
      <x:c r="F80" s="28" t="n">
        <x:v>27</x:v>
      </x:c>
      <x:c r="G80" s="26" t="n">
        <x:v>2025</x:v>
      </x:c>
      <x:c r="H80" s="26" t="str">
        <x:v>Members</x:v>
      </x:c>
      <x:c r="I80" s="26" t="str">
        <x:v>Oct-2025</x:v>
      </x:c>
      <x:c r="J80" s="26" t="str">
        <x:v>Current (≤4 years)</x:v>
      </x:c>
      <x:c r="K80" s="26" t="str">
        <x:v>B</x:v>
      </x:c>
      <x:c r="L80" s="26" t="str">
        <x:v>2026 industry report with cited underlying source</x:v>
      </x:c>
      <x:c r="M80" s="26" t="str">
        <x:v>Nectar website</x:v>
      </x:c>
      <x:c r="N80" s="26" t="str">
        <x:v>The World's Largest Loyalty Programs (2026)</x:v>
      </x:c>
      <x:c r="O80" s="26" t="str">
        <x:v>https://retailtechinnovationhub.squarespace.com/s/Capillary-Edition-WLLP-Approved.pdf</x:v>
      </x:c>
      <x:c r="P80" s="26" t="str"/>
    </x:row>
    <x:row r="81">
      <x:c r="A81" t="n">
        <x:f>COUNTIF($F$4:$F$134,"&gt;"&amp;F81)+1</x:f>
        <x:v>77</x:v>
      </x:c>
      <x:c r="B81" s="26" t="str">
        <x:v>Radisson Rewards</x:v>
      </x:c>
      <x:c r="C81" s="26" t="str">
        <x:v>Radisson Hotel Group</x:v>
      </x:c>
      <x:c r="D81" s="26" t="str">
        <x:v>Hotels</x:v>
      </x:c>
      <x:c r="E81" s="26" t="str">
        <x:v>Global</x:v>
      </x:c>
      <x:c r="F81" s="28" t="n">
        <x:v>27</x:v>
      </x:c>
      <x:c r="G81" s="26" t="n">
        <x:v>2026</x:v>
      </x:c>
      <x:c r="H81" s="26" t="str">
        <x:v>Members (over)</x:v>
      </x:c>
      <x:c r="I81" s="26" t="str">
        <x:v>Feb-2026</x:v>
      </x:c>
      <x:c r="J81" s="26" t="str">
        <x:v>Current (≤4 years)</x:v>
      </x:c>
      <x:c r="K81" s="26" t="str">
        <x:v>A</x:v>
      </x:c>
      <x:c r="L81" s="26" t="str">
        <x:v>Official company source</x:v>
      </x:c>
      <x:c r="M81" s="26" t="str">
        <x:v>Radisson Rewards launches new partnerships</x:v>
      </x:c>
      <x:c r="N81" s="26" t="str">
        <x:v>Radisson Rewards launches new partnerships</x:v>
      </x:c>
      <x:c r="O81" s="26" t="str">
        <x:v>https://www.radissonhotels.com/en-us/corporate/media/press-releases/Radisson-Rewards-launches-a-raft-of-new-partnerships-to-benefit-its-27-million-plus-members</x:v>
      </x:c>
      <x:c r="P81" s="26" t="str"/>
    </x:row>
    <x:row r="82">
      <x:c r="A82" t="n">
        <x:f>COUNTIF($F$4:$F$134,"&gt;"&amp;F82)+1</x:f>
        <x:v>79</x:v>
      </x:c>
      <x:c r="B82" s="26" t="str">
        <x:v>REI Co-op Membership</x:v>
      </x:c>
      <x:c r="C82" s="26" t="str">
        <x:v>REI Co-op</x:v>
      </x:c>
      <x:c r="D82" s="26" t="str">
        <x:v>Membership &amp; services</x:v>
      </x:c>
      <x:c r="E82" s="26" t="str">
        <x:v>United States</x:v>
      </x:c>
      <x:c r="F82" s="28" t="n">
        <x:v>25</x:v>
      </x:c>
      <x:c r="G82" s="26" t="n">
        <x:v>2025</x:v>
      </x:c>
      <x:c r="H82" s="26" t="str">
        <x:v>Members</x:v>
      </x:c>
      <x:c r="I82" s="26" t="str">
        <x:v>Sep-2025</x:v>
      </x:c>
      <x:c r="J82" s="26" t="str">
        <x:v>Current (≤4 years)</x:v>
      </x:c>
      <x:c r="K82" s="26" t="str">
        <x:v>B</x:v>
      </x:c>
      <x:c r="L82" s="26" t="str">
        <x:v>2026 industry report with cited underlying source</x:v>
      </x:c>
      <x:c r="M82" s="26" t="str">
        <x:v>REI press release</x:v>
      </x:c>
      <x:c r="N82" s="26" t="str">
        <x:v>The World's Largest Loyalty Programs (2026)</x:v>
      </x:c>
      <x:c r="O82" s="26" t="str">
        <x:v>https://retailtechinnovationhub.squarespace.com/s/Capillary-Edition-WLLP-Approved.pdf</x:v>
      </x:c>
      <x:c r="P82" s="26" t="str"/>
    </x:row>
    <x:row r="83">
      <x:c r="A83" t="n">
        <x:f>COUNTIF($F$4:$F$134,"&gt;"&amp;F83)+1</x:f>
        <x:v>79</x:v>
      </x:c>
      <x:c r="B83" s="26" t="str">
        <x:v>ScoreCard</x:v>
      </x:c>
      <x:c r="C83" s="26" t="str">
        <x:v>DICK'S Sporting Goods</x:v>
      </x:c>
      <x:c r="D83" s="26" t="str">
        <x:v>Retail &amp; consumer brands</x:v>
      </x:c>
      <x:c r="E83" s="26" t="str">
        <x:v>United States</x:v>
      </x:c>
      <x:c r="F83" s="28" t="n">
        <x:v>25</x:v>
      </x:c>
      <x:c r="G83" s="26" t="n">
        <x:v>2024</x:v>
      </x:c>
      <x:c r="H83" s="26" t="str">
        <x:v>Members</x:v>
      </x:c>
      <x:c r="I83" s="26" t="str">
        <x:v>Dec-2024</x:v>
      </x:c>
      <x:c r="J83" s="26" t="str">
        <x:v>Current (≤4 years)</x:v>
      </x:c>
      <x:c r="K83" s="26" t="str">
        <x:v>B</x:v>
      </x:c>
      <x:c r="L83" s="26" t="str">
        <x:v>2026 industry report with cited underlying source</x:v>
      </x:c>
      <x:c r="M83" s="26" t="str">
        <x:v>DICK'S Annual Report, p.12</x:v>
      </x:c>
      <x:c r="N83" s="26" t="str">
        <x:v>The World's Largest Loyalty Programs (2026)</x:v>
      </x:c>
      <x:c r="O83" s="26" t="str">
        <x:v>https://retailtechinnovationhub.squarespace.com/s/Capillary-Edition-WLLP-Approved.pdf</x:v>
      </x:c>
      <x:c r="P83" s="26" t="str"/>
    </x:row>
    <x:row r="84">
      <x:c r="A84" t="n">
        <x:f>COUNTIF($F$4:$F$134,"&gt;"&amp;F84)+1</x:f>
        <x:v>81</x:v>
      </x:c>
      <x:c r="B84" s="26" t="str">
        <x:v>Tesco Clubcard</x:v>
      </x:c>
      <x:c r="C84" s="26" t="str">
        <x:v>Tesco</x:v>
      </x:c>
      <x:c r="D84" s="26" t="str">
        <x:v>Retail &amp; grocery</x:v>
      </x:c>
      <x:c r="E84" s="26" t="str">
        <x:v>United Kingdom</x:v>
      </x:c>
      <x:c r="F84" s="28" t="n">
        <x:v>24</x:v>
      </x:c>
      <x:c r="G84" s="26" t="n">
        <x:v>2025</x:v>
      </x:c>
      <x:c r="H84" s="26" t="str">
        <x:v>UK households with Clubcard</x:v>
      </x:c>
      <x:c r="I84" s="26" t="str">
        <x:v>Oct-2025</x:v>
      </x:c>
      <x:c r="J84" s="26" t="str">
        <x:v>Current (≤4 years)</x:v>
      </x:c>
      <x:c r="K84" s="26" t="str">
        <x:v>A</x:v>
      </x:c>
      <x:c r="L84" s="26" t="str">
        <x:v>Official company source</x:v>
      </x:c>
      <x:c r="M84" s="26" t="str">
        <x:v>Tesco Clubcard Unpacked 2025</x:v>
      </x:c>
      <x:c r="N84" s="26" t="str">
        <x:v>Tesco Clubcard Unpacked 2025</x:v>
      </x:c>
      <x:c r="O84" s="26" t="str">
        <x:v>https://www.tescoplc.com/tesco-s-clubcard-unpacked-2025-reveals-the-difference-between-london-and-the-rest-of-the-uk-and-it-s-bananas/</x:v>
      </x:c>
      <x:c r="P84" s="26" t="str">
        <x:v>Alternative: 24m (Households with Clubcard, 2025, quality B); Alternative: 24m (Households with Clubcard, 2025, quality A)</x:v>
      </x:c>
    </x:row>
    <x:row r="85">
      <x:c r="A85" t="n">
        <x:f>COUNTIF($F$4:$F$134,"&gt;"&amp;F85)+1</x:f>
        <x:v>82</x:v>
      </x:c>
      <x:c r="B85" s="26" t="str">
        <x:v>Smiles</x:v>
      </x:c>
      <x:c r="C85" s="26" t="str">
        <x:v>GOL Linhas Aéreas / Smiles</x:v>
      </x:c>
      <x:c r="D85" s="26" t="str">
        <x:v>Airlines</x:v>
      </x:c>
      <x:c r="E85" s="26" t="str">
        <x:v>Brazil / Global</x:v>
      </x:c>
      <x:c r="F85" s="28" t="n">
        <x:v>22.6</x:v>
      </x:c>
      <x:c r="G85" s="26" t="n">
        <x:v>2023</x:v>
      </x:c>
      <x:c r="H85" s="26" t="str">
        <x:v>Members</x:v>
      </x:c>
      <x:c r="I85" s="26" t="str">
        <x:v>2024</x:v>
      </x:c>
      <x:c r="J85" s="26" t="str">
        <x:v>Current (≤4 years)</x:v>
      </x:c>
      <x:c r="K85" s="26" t="str">
        <x:v>B</x:v>
      </x:c>
      <x:c r="L85" s="26" t="str">
        <x:v>2024 airline industry report with cited underlying source</x:v>
      </x:c>
      <x:c r="M85" s="26" t="str">
        <x:v>GOL Annual Report 2023</x:v>
      </x:c>
      <x:c r="N85" s="26" t="str">
        <x:v>2024 Big Book of Airline Data</x:v>
      </x:c>
      <x:c r="O85" s="26" t="str">
        <x:v>https://ideaworkscompany.com/wp-content/uploads/2024/12/2024-Big-Book-of-Airline-Data-by-IdeaWorks-1.2.pdf</x:v>
      </x:c>
      <x:c r="P85" s="26" t="str"/>
    </x:row>
    <x:row r="86">
      <x:c r="A86" t="n">
        <x:f>COUNTIF($F$4:$F$134,"&gt;"&amp;F86)+1</x:f>
        <x:v>83</x:v>
      </x:c>
      <x:c r="B86" s="26" t="str">
        <x:v>M&amp;S Sparks</x:v>
      </x:c>
      <x:c r="C86" s="26" t="str">
        <x:v>Marks &amp; Spencer</x:v>
      </x:c>
      <x:c r="D86" s="26" t="str">
        <x:v>Retail &amp; grocery</x:v>
      </x:c>
      <x:c r="E86" s="26" t="str">
        <x:v>United Kingdom</x:v>
      </x:c>
      <x:c r="F86" s="28" t="n">
        <x:v>20</x:v>
      </x:c>
      <x:c r="G86" s="26" t="n">
        <x:v>2025</x:v>
      </x:c>
      <x:c r="H86" s="26" t="str">
        <x:v>Members</x:v>
      </x:c>
      <x:c r="I86" s="26" t="str">
        <x:v>Oct-2025</x:v>
      </x:c>
      <x:c r="J86" s="26" t="str">
        <x:v>Current (≤4 years)</x:v>
      </x:c>
      <x:c r="K86" s="26" t="str">
        <x:v>C</x:v>
      </x:c>
      <x:c r="L86" s="26" t="str">
        <x:v>2026 industry report with cited underlying source</x:v>
      </x:c>
      <x:c r="M86" s="26" t="str">
        <x:v>M&amp;S LinkedIn / company disclosure</x:v>
      </x:c>
      <x:c r="N86" s="26" t="str">
        <x:v>The World's Largest Loyalty Programs (2026)</x:v>
      </x:c>
      <x:c r="O86" s="26" t="str">
        <x:v>https://retailtechinnovationhub.squarespace.com/s/Capillary-Edition-WLLP-Approved.pdf</x:v>
      </x:c>
      <x:c r="P86" s="26" t="str"/>
    </x:row>
    <x:row r="87">
      <x:c r="A87" t="n">
        <x:f>COUNTIF($F$4:$F$134,"&gt;"&amp;F87)+1</x:f>
        <x:v>83</x:v>
      </x:c>
      <x:c r="B87" s="26" t="str">
        <x:v>Miles&amp;Smiles</x:v>
      </x:c>
      <x:c r="C87" s="26" t="str">
        <x:v>Turkish Airlines</x:v>
      </x:c>
      <x:c r="D87" s="26" t="str">
        <x:v>Airlines</x:v>
      </x:c>
      <x:c r="E87" s="26" t="str">
        <x:v>Global</x:v>
      </x:c>
      <x:c r="F87" s="28" t="n">
        <x:v>20</x:v>
      </x:c>
      <x:c r="G87" s="26" t="n">
        <x:v>2024</x:v>
      </x:c>
      <x:c r="H87" s="26" t="str">
        <x:v>Members</x:v>
      </x:c>
      <x:c r="I87" s="26" t="str">
        <x:v>Sep-2024</x:v>
      </x:c>
      <x:c r="J87" s="26" t="str">
        <x:v>Current (≤4 years)</x:v>
      </x:c>
      <x:c r="K87" s="26" t="str">
        <x:v>C</x:v>
      </x:c>
      <x:c r="L87" s="26" t="str">
        <x:v>2026 industry report with cited underlying source</x:v>
      </x:c>
      <x:c r="M87" s="26" t="str">
        <x:v>Australian Loyalty Association</x:v>
      </x:c>
      <x:c r="N87" s="26" t="str">
        <x:v>The World's Largest Loyalty Programs (2026)</x:v>
      </x:c>
      <x:c r="O87" s="26" t="str">
        <x:v>https://retailtechinnovationhub.squarespace.com/s/Capillary-Edition-WLLP-Approved.pdf</x:v>
      </x:c>
      <x:c r="P87" s="26" t="str"/>
    </x:row>
    <x:row r="88">
      <x:c r="A88" t="n">
        <x:f>COUNTIF($F$4:$F$134,"&gt;"&amp;F88)+1</x:f>
        <x:v>83</x:v>
      </x:c>
      <x:c r="B88" s="26" t="str">
        <x:v>XPLR Pass</x:v>
      </x:c>
      <x:c r="C88" s="26" t="str">
        <x:v>The North Face / VF Corporation</x:v>
      </x:c>
      <x:c r="D88" s="26" t="str">
        <x:v>Retail &amp; consumer brands</x:v>
      </x:c>
      <x:c r="E88" s="26" t="str">
        <x:v>North America</x:v>
      </x:c>
      <x:c r="F88" s="28" t="n">
        <x:v>20</x:v>
      </x:c>
      <x:c r="G88" s="26" t="n">
        <x:v>2023</x:v>
      </x:c>
      <x:c r="H88" s="26" t="str">
        <x:v>Members</x:v>
      </x:c>
      <x:c r="I88" s="26" t="str">
        <x:v>Dec-2023</x:v>
      </x:c>
      <x:c r="J88" s="26" t="str">
        <x:v>Current (≤4 years)</x:v>
      </x:c>
      <x:c r="K88" s="26" t="str">
        <x:v>C</x:v>
      </x:c>
      <x:c r="L88" s="26" t="str">
        <x:v>2026 industry report with cited underlying source</x:v>
      </x:c>
      <x:c r="M88" s="26" t="str">
        <x:v>Let's Talk Loyalty interview</x:v>
      </x:c>
      <x:c r="N88" s="26" t="str">
        <x:v>The World's Largest Loyalty Programs (2026)</x:v>
      </x:c>
      <x:c r="O88" s="26" t="str">
        <x:v>https://retailtechinnovationhub.squarespace.com/s/Capillary-Edition-WLLP-Approved.pdf</x:v>
      </x:c>
      <x:c r="P88" s="26" t="str"/>
    </x:row>
    <x:row r="89">
      <x:c r="A89" t="n">
        <x:f>COUNTIF($F$4:$F$134,"&gt;"&amp;F89)+1</x:f>
        <x:v>86</x:v>
      </x:c>
      <x:c r="B89" s="26" t="str">
        <x:v>Azul Fidelidade</x:v>
      </x:c>
      <x:c r="C89" s="26" t="str">
        <x:v>Azul S.A.</x:v>
      </x:c>
      <x:c r="D89" s="26" t="str">
        <x:v>Airlines</x:v>
      </x:c>
      <x:c r="E89" s="26" t="str">
        <x:v>Brazil / Global</x:v>
      </x:c>
      <x:c r="F89" s="28" t="n">
        <x:v>19</x:v>
      </x:c>
      <x:c r="G89" s="26" t="n">
        <x:v>2025</x:v>
      </x:c>
      <x:c r="H89" s="26" t="str">
        <x:v>Members</x:v>
      </x:c>
      <x:c r="I89" s="26" t="str">
        <x:v>May-2025</x:v>
      </x:c>
      <x:c r="J89" s="26" t="str">
        <x:v>Current (≤4 years)</x:v>
      </x:c>
      <x:c r="K89" s="26" t="str">
        <x:v>B</x:v>
      </x:c>
      <x:c r="L89" s="26" t="str">
        <x:v>2026 industry report with cited underlying source</x:v>
      </x:c>
      <x:c r="M89" s="26" t="str">
        <x:v>Azul Annual Report, p.2</x:v>
      </x:c>
      <x:c r="N89" s="26" t="str">
        <x:v>The World's Largest Loyalty Programs (2026)</x:v>
      </x:c>
      <x:c r="O89" s="26" t="str">
        <x:v>https://retailtechinnovationhub.squarespace.com/s/Capillary-Edition-WLLP-Approved.pdf</x:v>
      </x:c>
      <x:c r="P89" s="26" t="str">
        <x:v>Alternative: 17m (Members, 2023, quality B)</x:v>
      </x:c>
    </x:row>
    <x:row r="90">
      <x:c r="A90" t="n">
        <x:f>COUNTIF($F$4:$F$134,"&gt;"&amp;F90)+1</x:f>
        <x:v>86</x:v>
      </x:c>
      <x:c r="B90" s="26" t="str">
        <x:v>MeliáRewards</x:v>
      </x:c>
      <x:c r="C90" s="26" t="str">
        <x:v>Meliá Hotels International</x:v>
      </x:c>
      <x:c r="D90" s="26" t="str">
        <x:v>Hotels</x:v>
      </x:c>
      <x:c r="E90" s="26" t="str">
        <x:v>Global</x:v>
      </x:c>
      <x:c r="F90" s="28" t="n">
        <x:v>19</x:v>
      </x:c>
      <x:c r="G90" s="26" t="n">
        <x:v>2025</x:v>
      </x:c>
      <x:c r="H90" s="26" t="str">
        <x:v>Members (approaching)</x:v>
      </x:c>
      <x:c r="I90" s="26" t="str">
        <x:v>Feb-2026</x:v>
      </x:c>
      <x:c r="J90" s="26" t="str">
        <x:v>Current (≤4 years)</x:v>
      </x:c>
      <x:c r="K90" s="26" t="str">
        <x:v>A</x:v>
      </x:c>
      <x:c r="L90" s="26" t="str">
        <x:v>Official company source</x:v>
      </x:c>
      <x:c r="M90" s="26" t="str">
        <x:v>Meliá Hotels International FY2025 results</x:v>
      </x:c>
      <x:c r="N90" s="26" t="str">
        <x:v>Meliá Hotels International FY2025 results</x:v>
      </x:c>
      <x:c r="O90" s="26" t="str">
        <x:v>https://www.meliahotelsinternational.com/en/shareholdersAndInvestors/PublicDocs/2025/Q4%202025/MHI%20Release%2012M2025_EN.pdf</x:v>
      </x:c>
      <x:c r="P90" s="26" t="str"/>
    </x:row>
    <x:row r="91">
      <x:c r="A91" t="n">
        <x:f>COUNTIF($F$4:$F$134,"&gt;"&amp;F91)+1</x:f>
        <x:v>88</x:v>
      </x:c>
      <x:c r="B91" s="26" t="str">
        <x:v>PC Optimum</x:v>
      </x:c>
      <x:c r="C91" s="26" t="str">
        <x:v>Loblaw Companies</x:v>
      </x:c>
      <x:c r="D91" s="26" t="str">
        <x:v>Retail &amp; grocery</x:v>
      </x:c>
      <x:c r="E91" s="26" t="str">
        <x:v>Canada</x:v>
      </x:c>
      <x:c r="F91" s="28" t="n">
        <x:v>18</x:v>
      </x:c>
      <x:c r="G91" s="26" t="n">
        <x:v>2024</x:v>
      </x:c>
      <x:c r="H91" s="26" t="str">
        <x:v>Members (over)</x:v>
      </x:c>
      <x:c r="I91" s="26" t="str">
        <x:v>Feb-2024</x:v>
      </x:c>
      <x:c r="J91" s="26" t="str">
        <x:v>Current (≤4 years)</x:v>
      </x:c>
      <x:c r="K91" s="26" t="str">
        <x:v>A</x:v>
      </x:c>
      <x:c r="L91" s="26" t="str">
        <x:v>Official company source</x:v>
      </x:c>
      <x:c r="M91" s="26" t="str">
        <x:v>Loblaw to invest more than $2 billion in the Canadian economy</x:v>
      </x:c>
      <x:c r="N91" s="26" t="str">
        <x:v>Loblaw to invest more than $2 billion in the Canadian economy</x:v>
      </x:c>
      <x:c r="O91" s="26" t="str">
        <x:v>https://www.loblaw.ca/en/loblaw-to-invest-more-than-2-billion-in-the-canadian-economy-creating-thousands-of-jobs-and-opening-more-than-40-additional-stores/</x:v>
      </x:c>
      <x:c r="P91" s="26" t="str"/>
    </x:row>
    <x:row r="92">
      <x:c r="A92" t="n">
        <x:f>COUNTIF($F$4:$F$134,"&gt;"&amp;F92)+1</x:f>
        <x:v>88</x:v>
      </x:c>
      <x:c r="B92" s="26" t="str">
        <x:v>Qantas Frequent Flyer</x:v>
      </x:c>
      <x:c r="C92" s="26" t="str">
        <x:v>Qantas Airways</x:v>
      </x:c>
      <x:c r="D92" s="26" t="str">
        <x:v>Airlines</x:v>
      </x:c>
      <x:c r="E92" s="26" t="str">
        <x:v>Australia / Global</x:v>
      </x:c>
      <x:c r="F92" s="28" t="n">
        <x:v>18</x:v>
      </x:c>
      <x:c r="G92" s="26" t="n">
        <x:v>2025</x:v>
      </x:c>
      <x:c r="H92" s="26" t="str">
        <x:v>Members</x:v>
      </x:c>
      <x:c r="I92" s="26" t="str">
        <x:v>Aug-2025</x:v>
      </x:c>
      <x:c r="J92" s="26" t="str">
        <x:v>Current (≤4 years)</x:v>
      </x:c>
      <x:c r="K92" s="26" t="str">
        <x:v>B</x:v>
      </x:c>
      <x:c r="L92" s="26" t="str">
        <x:v>2026 industry report with cited underlying source</x:v>
      </x:c>
      <x:c r="M92" s="26" t="str">
        <x:v>Qantas Annual Report, p.26</x:v>
      </x:c>
      <x:c r="N92" s="26" t="str">
        <x:v>The World's Largest Loyalty Programs (2026)</x:v>
      </x:c>
      <x:c r="O92" s="26" t="str">
        <x:v>https://retailtechinnovationhub.squarespace.com/s/Capillary-Edition-WLLP-Approved.pdf</x:v>
      </x:c>
      <x:c r="P92" s="26" t="str">
        <x:v>Alternative: 15.2m (Members, 2023, quality B)</x:v>
      </x:c>
    </x:row>
    <x:row r="93">
      <x:c r="A93" t="n">
        <x:f>COUNTIF($F$4:$F$134,"&gt;"&amp;F93)+1</x:f>
        <x:v>90</x:v>
      </x:c>
      <x:c r="B93" s="26" t="str">
        <x:v>Allways Rewards</x:v>
      </x:c>
      <x:c r="C93" s="26" t="str">
        <x:v>Allegiant Travel Company</x:v>
      </x:c>
      <x:c r="D93" s="26" t="str">
        <x:v>Airlines</x:v>
      </x:c>
      <x:c r="E93" s="26" t="str">
        <x:v>United States</x:v>
      </x:c>
      <x:c r="F93" s="28" t="n">
        <x:v>17</x:v>
      </x:c>
      <x:c r="G93" s="26" t="n">
        <x:v>2023</x:v>
      </x:c>
      <x:c r="H93" s="26" t="str">
        <x:v>Members</x:v>
      </x:c>
      <x:c r="I93" s="26" t="str">
        <x:v>2024</x:v>
      </x:c>
      <x:c r="J93" s="26" t="str">
        <x:v>Current (≤4 years)</x:v>
      </x:c>
      <x:c r="K93" s="26" t="str">
        <x:v>B</x:v>
      </x:c>
      <x:c r="L93" s="26" t="str">
        <x:v>2024 airline industry report with cited underlying source</x:v>
      </x:c>
      <x:c r="M93" s="26" t="str">
        <x:v>Allegiant Annual Report 2023</x:v>
      </x:c>
      <x:c r="N93" s="26" t="str">
        <x:v>2024 Big Book of Airline Data</x:v>
      </x:c>
      <x:c r="O93" s="26" t="str">
        <x:v>https://ideaworkscompany.com/wp-content/uploads/2024/12/2024-Big-Book-of-Airline-Data-by-IdeaWorks-1.2.pdf</x:v>
      </x:c>
      <x:c r="P93" s="26" t="str"/>
    </x:row>
    <x:row r="94">
      <x:c r="A94" t="n">
        <x:f>COUNTIF($F$4:$F$134,"&gt;"&amp;F94)+1</x:f>
        <x:v>90</x:v>
      </x:c>
      <x:c r="B94" s="26" t="str">
        <x:v>Boots Advantage Card</x:v>
      </x:c>
      <x:c r="C94" s="26" t="str">
        <x:v>Walgreens Boots Alliance</x:v>
      </x:c>
      <x:c r="D94" s="26" t="str">
        <x:v>Retail &amp; pharmacy</x:v>
      </x:c>
      <x:c r="E94" s="26" t="str">
        <x:v>United Kingdom / Ireland</x:v>
      </x:c>
      <x:c r="F94" s="28" t="n">
        <x:v>17</x:v>
      </x:c>
      <x:c r="G94" s="26" t="n">
        <x:v>2025</x:v>
      </x:c>
      <x:c r="H94" s="26" t="str">
        <x:v>Members</x:v>
      </x:c>
      <x:c r="I94" s="26" t="str">
        <x:v>Jul-2025</x:v>
      </x:c>
      <x:c r="J94" s="26" t="str">
        <x:v>Current (≤4 years)</x:v>
      </x:c>
      <x:c r="K94" s="26" t="str">
        <x:v>B</x:v>
      </x:c>
      <x:c r="L94" s="26" t="str">
        <x:v>2026 industry report with cited underlying source</x:v>
      </x:c>
      <x:c r="M94" s="26" t="str">
        <x:v>Boots press release</x:v>
      </x:c>
      <x:c r="N94" s="26" t="str">
        <x:v>The World's Largest Loyalty Programs (2026)</x:v>
      </x:c>
      <x:c r="O94" s="26" t="str">
        <x:v>https://retailtechinnovationhub.squarespace.com/s/Capillary-Edition-WLLP-Approved.pdf</x:v>
      </x:c>
      <x:c r="P94" s="26" t="str"/>
    </x:row>
    <x:row r="95">
      <x:c r="A95" t="n">
        <x:f>COUNTIF($F$4:$F$134,"&gt;"&amp;F95)+1</x:f>
        <x:v>92</x:v>
      </x:c>
      <x:c r="B95" s="26" t="str">
        <x:v>Everyday Rewards</x:v>
      </x:c>
      <x:c r="C95" s="26" t="str">
        <x:v>Woolworths Group</x:v>
      </x:c>
      <x:c r="D95" s="26" t="str">
        <x:v>Retail &amp; grocery</x:v>
      </x:c>
      <x:c r="E95" s="26" t="str">
        <x:v>Australia / New Zealand</x:v>
      </x:c>
      <x:c r="F95" s="28" t="n">
        <x:v>14.5</x:v>
      </x:c>
      <x:c r="G95" s="26" t="n">
        <x:v>2023</x:v>
      </x:c>
      <x:c r="H95" s="26" t="str">
        <x:v>Registered members</x:v>
      </x:c>
      <x:c r="I95" s="26" t="str">
        <x:v>Aug-2023</x:v>
      </x:c>
      <x:c r="J95" s="26" t="str">
        <x:v>Current (≤4 years)</x:v>
      </x:c>
      <x:c r="K95" s="26" t="str">
        <x:v>A</x:v>
      </x:c>
      <x:c r="L95" s="26" t="str">
        <x:v>Official company source</x:v>
      </x:c>
      <x:c r="M95" s="26" t="str">
        <x:v>Woolworths Group FY2023 Profit Announcement</x:v>
      </x:c>
      <x:c r="N95" s="26" t="str">
        <x:v>Woolworths Group FY2023 Profit Announcement</x:v>
      </x:c>
      <x:c r="O95" s="26" t="str">
        <x:v>https://www.woolworthsgroup.com.au/content/dam/wwg/investors/reports/f23/full-year/Woolworths%20Group%20F23%20Profit%20Announcement.pdf</x:v>
      </x:c>
      <x:c r="P95" s="26" t="str">
        <x:v>Woolworths later reported 10.4m active members in FY2025; 14.5m is the registered-member figure.</x:v>
      </x:c>
    </x:row>
    <x:row r="96">
      <x:c r="A96" t="n">
        <x:f>COUNTIF($F$4:$F$134,"&gt;"&amp;F96)+1</x:f>
        <x:v>93</x:v>
      </x:c>
      <x:c r="B96" s="26" t="str">
        <x:v>Cathay / Asia Miles</x:v>
      </x:c>
      <x:c r="C96" s="26" t="str">
        <x:v>Cathay Pacific Airways</x:v>
      </x:c>
      <x:c r="D96" s="26" t="str">
        <x:v>Airlines</x:v>
      </x:c>
      <x:c r="E96" s="26" t="str">
        <x:v>Hong Kong / Global</x:v>
      </x:c>
      <x:c r="F96" s="28" t="n">
        <x:v>13</x:v>
      </x:c>
      <x:c r="G96" s="26" t="n">
        <x:v>2022</x:v>
      </x:c>
      <x:c r="H96" s="26" t="str">
        <x:v>Members</x:v>
      </x:c>
      <x:c r="I96" s="26" t="str">
        <x:v>2023</x:v>
      </x:c>
      <x:c r="J96" s="26" t="str">
        <x:v>Current (≤4 years)</x:v>
      </x:c>
      <x:c r="K96" s="26" t="str">
        <x:v>B</x:v>
      </x:c>
      <x:c r="L96" s="26" t="str">
        <x:v>2024 airline industry report with cited underlying source</x:v>
      </x:c>
      <x:c r="M96" s="26" t="str">
        <x:v>Cathay Annual Report 2022</x:v>
      </x:c>
      <x:c r="N96" s="26" t="str">
        <x:v>2024 Big Book of Airline Data</x:v>
      </x:c>
      <x:c r="O96" s="26" t="str">
        <x:v>https://ideaworkscompany.com/wp-content/uploads/2024/12/2024-Big-Book-of-Airline-Data-by-IdeaWorks-1.2.pdf</x:v>
      </x:c>
      <x:c r="P96" s="26" t="str"/>
    </x:row>
    <x:row r="97">
      <x:c r="A97" t="n">
        <x:f>COUNTIF($F$4:$F$134,"&gt;"&amp;F97)+1</x:f>
        <x:v>94</x:v>
      </x:c>
      <x:c r="B97" s="26" t="str">
        <x:v>LifeMiles</x:v>
      </x:c>
      <x:c r="C97" s="26" t="str">
        <x:v>Avianca Group</x:v>
      </x:c>
      <x:c r="D97" s="26" t="str">
        <x:v>Airlines</x:v>
      </x:c>
      <x:c r="E97" s="26" t="str">
        <x:v>Latin America / Global</x:v>
      </x:c>
      <x:c r="F97" s="28" t="n">
        <x:v>12.5</x:v>
      </x:c>
      <x:c r="G97" s="26" t="n">
        <x:v>2023</x:v>
      </x:c>
      <x:c r="H97" s="26" t="str">
        <x:v>Members</x:v>
      </x:c>
      <x:c r="I97" s="26" t="str">
        <x:v>2024</x:v>
      </x:c>
      <x:c r="J97" s="26" t="str">
        <x:v>Current (≤4 years)</x:v>
      </x:c>
      <x:c r="K97" s="26" t="str">
        <x:v>B</x:v>
      </x:c>
      <x:c r="L97" s="26" t="str">
        <x:v>2024 airline industry report with cited underlying source</x:v>
      </x:c>
      <x:c r="M97" s="26" t="str">
        <x:v>Avianca Annual Report 2023</x:v>
      </x:c>
      <x:c r="N97" s="26" t="str">
        <x:v>2024 Big Book of Airline Data</x:v>
      </x:c>
      <x:c r="O97" s="26" t="str">
        <x:v>https://ideaworkscompany.com/wp-content/uploads/2024/12/2024-Big-Book-of-Airline-Data-by-IdeaWorks-1.2.pdf</x:v>
      </x:c>
      <x:c r="P97" s="26" t="str"/>
    </x:row>
    <x:row r="98">
      <x:c r="A98" t="n">
        <x:f>COUNTIF($F$4:$F$134,"&gt;"&amp;F98)+1</x:f>
        <x:v>95</x:v>
      </x:c>
      <x:c r="B98" s="26" t="str">
        <x:v>Aeroflot Bonus</x:v>
      </x:c>
      <x:c r="C98" s="26" t="str">
        <x:v>Aeroflot Group</x:v>
      </x:c>
      <x:c r="D98" s="26" t="str">
        <x:v>Airlines</x:v>
      </x:c>
      <x:c r="E98" s="26" t="str">
        <x:v>Russia / Global</x:v>
      </x:c>
      <x:c r="F98" s="28" t="n">
        <x:v>12.4</x:v>
      </x:c>
      <x:c r="G98" s="26" t="n">
        <x:v>2023</x:v>
      </x:c>
      <x:c r="H98" s="26" t="str">
        <x:v>Members</x:v>
      </x:c>
      <x:c r="I98" s="26" t="str">
        <x:v>2024</x:v>
      </x:c>
      <x:c r="J98" s="26" t="str">
        <x:v>Current (≤4 years)</x:v>
      </x:c>
      <x:c r="K98" s="26" t="str">
        <x:v>B</x:v>
      </x:c>
      <x:c r="L98" s="26" t="str">
        <x:v>2024 airline industry report with cited underlying source</x:v>
      </x:c>
      <x:c r="M98" s="26" t="str">
        <x:v>Aeroflot Annual Report 2023</x:v>
      </x:c>
      <x:c r="N98" s="26" t="str">
        <x:v>2024 Big Book of Airline Data</x:v>
      </x:c>
      <x:c r="O98" s="26" t="str">
        <x:v>https://ideaworkscompany.com/wp-content/uploads/2024/12/2024-Big-Book-of-Airline-Data-by-IdeaWorks-1.2.pdf</x:v>
      </x:c>
      <x:c r="P98" s="26" t="str"/>
    </x:row>
    <x:row r="99">
      <x:c r="A99" t="n">
        <x:f>COUNTIF($F$4:$F$134,"&gt;"&amp;F99)+1</x:f>
        <x:v>96</x:v>
      </x:c>
      <x:c r="B99" s="26" t="str">
        <x:v>HawaiianMiles</x:v>
      </x:c>
      <x:c r="C99" s="26" t="str">
        <x:v>Alaska Air Group / Hawaiian Airlines</x:v>
      </x:c>
      <x:c r="D99" s="26" t="str">
        <x:v>Airlines</x:v>
      </x:c>
      <x:c r="E99" s="26" t="str">
        <x:v>Hawaii / North America</x:v>
      </x:c>
      <x:c r="F99" s="28" t="n">
        <x:v>12.3</x:v>
      </x:c>
      <x:c r="G99" s="26" t="n">
        <x:v>2023</x:v>
      </x:c>
      <x:c r="H99" s="26" t="str">
        <x:v>Members</x:v>
      </x:c>
      <x:c r="I99" s="26" t="str">
        <x:v>2024</x:v>
      </x:c>
      <x:c r="J99" s="26" t="str">
        <x:v>Current (≤4 years)</x:v>
      </x:c>
      <x:c r="K99" s="26" t="str">
        <x:v>B</x:v>
      </x:c>
      <x:c r="L99" s="26" t="str">
        <x:v>2024 airline industry report with cited underlying source</x:v>
      </x:c>
      <x:c r="M99" s="26" t="str">
        <x:v>Hawaiian Annual Report 2023</x:v>
      </x:c>
      <x:c r="N99" s="26" t="str">
        <x:v>2024 Big Book of Airline Data</x:v>
      </x:c>
      <x:c r="O99" s="26" t="str">
        <x:v>https://ideaworkscompany.com/wp-content/uploads/2024/12/2024-Big-Book-of-Airline-Data-by-IdeaWorks-1.2.pdf</x:v>
      </x:c>
      <x:c r="P99" s="26" t="str"/>
    </x:row>
    <x:row r="100">
      <x:c r="A100" t="n">
        <x:f>COUNTIF($F$4:$F$134,"&gt;"&amp;F100)+1</x:f>
        <x:v>97</x:v>
      </x:c>
      <x:c r="B100" s="26" t="str">
        <x:v>Tims China loyalty club</x:v>
      </x:c>
      <x:c r="C100" s="26" t="str">
        <x:v>TH International / Tim Hortons China</x:v>
      </x:c>
      <x:c r="D100" s="26" t="str">
        <x:v>Restaurants &amp; QSR</x:v>
      </x:c>
      <x:c r="E100" s="26" t="str">
        <x:v>China</x:v>
      </x:c>
      <x:c r="F100" s="28" t="n">
        <x:v>12</x:v>
      </x:c>
      <x:c r="G100" s="26" t="n">
        <x:v>2023</x:v>
      </x:c>
      <x:c r="H100" s="26" t="str">
        <x:v>Loyalty club members (over)</x:v>
      </x:c>
      <x:c r="I100" s="26" t="str">
        <x:v>Mar-2023</x:v>
      </x:c>
      <x:c r="J100" s="26" t="str">
        <x:v>Current (≤4 years)</x:v>
      </x:c>
      <x:c r="K100" s="26" t="str">
        <x:v>A</x:v>
      </x:c>
      <x:c r="L100" s="26" t="str">
        <x:v>Official company source</x:v>
      </x:c>
      <x:c r="M100" s="26" t="str">
        <x:v>Tims China announces addition of Popeyes</x:v>
      </x:c>
      <x:c r="N100" s="26" t="str">
        <x:v>Tims China announces addition of Popeyes</x:v>
      </x:c>
      <x:c r="O100" s="26" t="str">
        <x:v>https://www.rbi.com/English/news/news-details/2023/Tims-China-Announces-Addition-of-Popeyes-Chicken-Brand/default.aspx</x:v>
      </x:c>
      <x:c r="P100" s="26" t="str"/>
    </x:row>
    <x:row r="101">
      <x:c r="A101" t="n">
        <x:f>COUNTIF($F$4:$F$134,"&gt;"&amp;F101)+1</x:f>
        <x:v>97</x:v>
      </x:c>
      <x:c r="B101" s="26" t="str">
        <x:v>Triangle Rewards</x:v>
      </x:c>
      <x:c r="C101" s="26" t="str">
        <x:v>Canadian Tire Corporation</x:v>
      </x:c>
      <x:c r="D101" s="26" t="str">
        <x:v>Coalition &amp; retail</x:v>
      </x:c>
      <x:c r="E101" s="26" t="str">
        <x:v>Canada</x:v>
      </x:c>
      <x:c r="F101" s="28" t="n">
        <x:v>12</x:v>
      </x:c>
      <x:c r="G101" s="26" t="n">
        <x:v>2026</x:v>
      </x:c>
      <x:c r="H101" s="26" t="str">
        <x:v>Members (over)</x:v>
      </x:c>
      <x:c r="I101" s="26" t="str">
        <x:v>Mar-2026</x:v>
      </x:c>
      <x:c r="J101" s="26" t="str">
        <x:v>Current (≤4 years)</x:v>
      </x:c>
      <x:c r="K101" s="26" t="str">
        <x:v>A</x:v>
      </x:c>
      <x:c r="L101" s="26" t="str">
        <x:v>Official company source</x:v>
      </x:c>
      <x:c r="M101" s="26" t="str">
        <x:v>Canadian Tire and WestJet loyalty partnership</x:v>
      </x:c>
      <x:c r="N101" s="26" t="str">
        <x:v>Canadian Tire and WestJet loyalty partnership</x:v>
      </x:c>
      <x:c r="O101" s="26" t="str">
        <x:v>https://corp.canadiantire.ca/English/media/news-releases/press-release-details/2026/Canadians-can-now-spend-once-and-earn-twice-with-innovative-Canadian-Tire-Corporation-and-WestJet-loyalty-partnership/default.aspx</x:v>
      </x:c>
      <x:c r="P101" s="26" t="str">
        <x:v>Canadian Tire reported 9.8m active registered members in FY2025 results; 12m is total membership.</x:v>
      </x:c>
    </x:row>
    <x:row r="102">
      <x:c r="A102" t="n">
        <x:f>COUNTIF($F$4:$F$134,"&gt;"&amp;F102)+1</x:f>
        <x:v>97</x:v>
      </x:c>
      <x:c r="B102" s="26" t="str">
        <x:v>Velocity Frequent Flyer</x:v>
      </x:c>
      <x:c r="C102" s="26" t="str">
        <x:v>Virgin Australia</x:v>
      </x:c>
      <x:c r="D102" s="26" t="str">
        <x:v>Airlines</x:v>
      </x:c>
      <x:c r="E102" s="26" t="str">
        <x:v>Australia / Global</x:v>
      </x:c>
      <x:c r="F102" s="28" t="n">
        <x:v>12</x:v>
      </x:c>
      <x:c r="G102" s="26" t="n">
        <x:v>2024</x:v>
      </x:c>
      <x:c r="H102" s="26" t="str">
        <x:v>Members (over)</x:v>
      </x:c>
      <x:c r="I102" s="26" t="str">
        <x:v>Oct-2024</x:v>
      </x:c>
      <x:c r="J102" s="26" t="str">
        <x:v>Current (≤4 years)</x:v>
      </x:c>
      <x:c r="K102" s="26" t="str">
        <x:v>A</x:v>
      </x:c>
      <x:c r="L102" s="26" t="str">
        <x:v>Official company source</x:v>
      </x:c>
      <x:c r="M102" s="26" t="str">
        <x:v>Virgin Australia FY2024 results</x:v>
      </x:c>
      <x:c r="N102" s="26" t="str">
        <x:v>Virgin Australia FY2024 results</x:v>
      </x:c>
      <x:c r="O102" s="26" t="str">
        <x:v>https://www.virginaustralia.com/uk/en/newsroom/2024/10/virgin-australia-delivers-strong-fy24-results-driven-ongoing-transformation/</x:v>
      </x:c>
      <x:c r="P102" s="26" t="str">
        <x:v>Alternative: 11.5m (Members, 2023, quality B)</x:v>
      </x:c>
    </x:row>
    <x:row r="103">
      <x:c r="A103" t="n">
        <x:f>COUNTIF($F$4:$F$134,"&gt;"&amp;F103)+1</x:f>
        <x:v>100</x:v>
      </x:c>
      <x:c r="B103" s="26" t="str">
        <x:v>BolBol</x:v>
      </x:c>
      <x:c r="C103" s="26" t="str">
        <x:v>Pegasus Airlines</x:v>
      </x:c>
      <x:c r="D103" s="26" t="str">
        <x:v>Airlines</x:v>
      </x:c>
      <x:c r="E103" s="26" t="str">
        <x:v>Turkey / Europe</x:v>
      </x:c>
      <x:c r="F103" s="28" t="n">
        <x:v>10.596909</x:v>
      </x:c>
      <x:c r="G103" s="26" t="n">
        <x:v>2022</x:v>
      </x:c>
      <x:c r="H103" s="26" t="str">
        <x:v>Members</x:v>
      </x:c>
      <x:c r="I103" s="26" t="str">
        <x:v>2023</x:v>
      </x:c>
      <x:c r="J103" s="26" t="str">
        <x:v>Current (≤4 years)</x:v>
      </x:c>
      <x:c r="K103" s="26" t="str">
        <x:v>B</x:v>
      </x:c>
      <x:c r="L103" s="26" t="str">
        <x:v>2024 airline industry report with cited underlying source</x:v>
      </x:c>
      <x:c r="M103" s="26" t="str">
        <x:v>Pegasus company disclosure 2022</x:v>
      </x:c>
      <x:c r="N103" s="26" t="str">
        <x:v>2024 Big Book of Airline Data</x:v>
      </x:c>
      <x:c r="O103" s="26" t="str">
        <x:v>https://ideaworkscompany.com/wp-content/uploads/2024/12/2024-Big-Book-of-Airline-Data-by-IdeaWorks-1.2.pdf</x:v>
      </x:c>
      <x:c r="P103" s="26" t="str"/>
    </x:row>
    <x:row r="104">
      <x:c r="A104" t="n">
        <x:f>COUNTIF($F$4:$F$134,"&gt;"&amp;F104)+1</x:f>
        <x:v>101</x:v>
      </x:c>
      <x:c r="B104" s="26" t="str">
        <x:v>Aeroméxico Rewards</x:v>
      </x:c>
      <x:c r="C104" s="26" t="str">
        <x:v>Grupo Aeroméxico</x:v>
      </x:c>
      <x:c r="D104" s="26" t="str">
        <x:v>Airlines</x:v>
      </x:c>
      <x:c r="E104" s="26" t="str">
        <x:v>Mexico / Global</x:v>
      </x:c>
      <x:c r="F104" s="28" t="n">
        <x:v>10</x:v>
      </x:c>
      <x:c r="G104" s="26" t="n">
        <x:v>2024</x:v>
      </x:c>
      <x:c r="H104" s="26" t="str">
        <x:v>Members</x:v>
      </x:c>
      <x:c r="I104" s="26" t="str">
        <x:v>2024</x:v>
      </x:c>
      <x:c r="J104" s="26" t="str">
        <x:v>Current (≤4 years)</x:v>
      </x:c>
      <x:c r="K104" s="26" t="str">
        <x:v>B</x:v>
      </x:c>
      <x:c r="L104" s="26" t="str">
        <x:v>2024 airline industry report with cited underlying source</x:v>
      </x:c>
      <x:c r="M104" s="26" t="str">
        <x:v>Aeroméxico 2024 IPO filing</x:v>
      </x:c>
      <x:c r="N104" s="26" t="str">
        <x:v>2024 Big Book of Airline Data</x:v>
      </x:c>
      <x:c r="O104" s="26" t="str">
        <x:v>https://ideaworkscompany.com/wp-content/uploads/2024/12/2024-Big-Book-of-Airline-Data-by-IdeaWorks-1.2.pdf</x:v>
      </x:c>
      <x:c r="P104" s="26" t="str"/>
    </x:row>
    <x:row r="105">
      <x:c r="A105" t="n">
        <x:f>COUNTIF($F$4:$F$134,"&gt;"&amp;F105)+1</x:f>
        <x:v>101</x:v>
      </x:c>
      <x:c r="B105" s="26" t="str">
        <x:v>Aeroplan</x:v>
      </x:c>
      <x:c r="C105" s="26" t="str">
        <x:v>Air Canada</x:v>
      </x:c>
      <x:c r="D105" s="26" t="str">
        <x:v>Airlines</x:v>
      </x:c>
      <x:c r="E105" s="26" t="str">
        <x:v>Global</x:v>
      </x:c>
      <x:c r="F105" s="28" t="n">
        <x:v>10</x:v>
      </x:c>
      <x:c r="G105" s="26" t="n">
        <x:v>2025</x:v>
      </x:c>
      <x:c r="H105" s="26" t="str">
        <x:v>Members (over)</x:v>
      </x:c>
      <x:c r="I105" s="26" t="str">
        <x:v>2025</x:v>
      </x:c>
      <x:c r="J105" s="26" t="str">
        <x:v>Current (≤4 years)</x:v>
      </x:c>
      <x:c r="K105" s="26" t="str">
        <x:v>A</x:v>
      </x:c>
      <x:c r="L105" s="26" t="str">
        <x:v>Company press release</x:v>
      </x:c>
      <x:c r="M105" s="26" t="str">
        <x:v>Air Canada 2025 results / company boilerplate</x:v>
      </x:c>
      <x:c r="N105" s="26" t="str">
        <x:v>Air Canada 2025 results / company boilerplate</x:v>
      </x:c>
      <x:c r="O105" s="26" t="str">
        <x:v>https://www.aircanada.com/media/air-canada-provides-third-quarter-2025-estimated-results-and-updated-full-year-2025-guidance/</x:v>
      </x:c>
      <x:c r="P105" s="26" t="str">
        <x:v>Alternative: 10m (Active and engaged members (over), 2025, quality A); Alternative: 8m (Members, 2023, quality B)</x:v>
      </x:c>
    </x:row>
    <x:row r="106">
      <x:c r="A106" t="n">
        <x:f>COUNTIF($F$4:$F$134,"&gt;"&amp;F106)+1</x:f>
        <x:v>101</x:v>
      </x:c>
      <x:c r="B106" s="26" t="str">
        <x:v>Etihad Guest</x:v>
      </x:c>
      <x:c r="C106" s="26" t="str">
        <x:v>Etihad Airways</x:v>
      </x:c>
      <x:c r="D106" s="26" t="str">
        <x:v>Airlines</x:v>
      </x:c>
      <x:c r="E106" s="26" t="str">
        <x:v>Global</x:v>
      </x:c>
      <x:c r="F106" s="28" t="n">
        <x:v>10</x:v>
      </x:c>
      <x:c r="G106" s="26" t="n">
        <x:v>2024</x:v>
      </x:c>
      <x:c r="H106" s="26" t="str">
        <x:v>Members</x:v>
      </x:c>
      <x:c r="I106" s="26" t="str">
        <x:v>2024</x:v>
      </x:c>
      <x:c r="J106" s="26" t="str">
        <x:v>Current (≤4 years)</x:v>
      </x:c>
      <x:c r="K106" s="26" t="str">
        <x:v>B</x:v>
      </x:c>
      <x:c r="L106" s="26" t="str">
        <x:v>2024 airline industry report with cited underlying source</x:v>
      </x:c>
      <x:c r="M106" s="26" t="str">
        <x:v>Etihad press release, Jul 2024</x:v>
      </x:c>
      <x:c r="N106" s="26" t="str">
        <x:v>2024 Big Book of Airline Data</x:v>
      </x:c>
      <x:c r="O106" s="26" t="str">
        <x:v>https://ideaworkscompany.com/wp-content/uploads/2024/12/2024-Big-Book-of-Airline-Data-by-IdeaWorks-1.2.pdf</x:v>
      </x:c>
      <x:c r="P106" s="26" t="str"/>
    </x:row>
    <x:row r="107">
      <x:c r="A107" t="n">
        <x:f>COUNTIF($F$4:$F$134,"&gt;"&amp;F107)+1</x:f>
        <x:v>104</x:v>
      </x:c>
      <x:c r="B107" s="26" t="str">
        <x:v>Flybuys Australia</x:v>
      </x:c>
      <x:c r="C107" s="26" t="str">
        <x:v>Flybuys / Coles and Wesfarmers</x:v>
      </x:c>
      <x:c r="D107" s="26" t="str">
        <x:v>Coalition &amp; points</x:v>
      </x:c>
      <x:c r="E107" s="26" t="str">
        <x:v>Australia</x:v>
      </x:c>
      <x:c r="F107" s="28" t="n">
        <x:v>9.5</x:v>
      </x:c>
      <x:c r="G107" s="26" t="n">
        <x:v>2024</x:v>
      </x:c>
      <x:c r="H107" s="26" t="str">
        <x:v>Members (over)</x:v>
      </x:c>
      <x:c r="I107" s="26" t="str">
        <x:v>Dec-2024</x:v>
      </x:c>
      <x:c r="J107" s="26" t="str">
        <x:v>Current (≤4 years)</x:v>
      </x:c>
      <x:c r="K107" s="26" t="str">
        <x:v>A</x:v>
      </x:c>
      <x:c r="L107" s="26" t="str">
        <x:v>Official company source</x:v>
      </x:c>
      <x:c r="M107" s="26" t="str">
        <x:v>Flybuys Modern Slavery Statement 2024</x:v>
      </x:c>
      <x:c r="N107" s="26" t="str">
        <x:v>Flybuys Modern Slavery Statement 2024</x:v>
      </x:c>
      <x:c r="O107" s="26" t="str">
        <x:v>https://modernslaveryregister.gov.au/statements/zocPHKj93MjJKDf/pdf/</x:v>
      </x:c>
      <x:c r="P107" s="26" t="str"/>
    </x:row>
    <x:row r="108">
      <x:c r="A108" t="n">
        <x:f>COUNTIF($F$4:$F$134,"&gt;"&amp;F108)+1</x:f>
        <x:v>105</x:v>
      </x:c>
      <x:c r="B108" s="26" t="str">
        <x:v>KrisFlyer</x:v>
      </x:c>
      <x:c r="C108" s="26" t="str">
        <x:v>Singapore Airlines</x:v>
      </x:c>
      <x:c r="D108" s="26" t="str">
        <x:v>Airlines</x:v>
      </x:c>
      <x:c r="E108" s="26" t="str">
        <x:v>Global</x:v>
      </x:c>
      <x:c r="F108" s="28" t="n">
        <x:v>8.8</x:v>
      </x:c>
      <x:c r="G108" s="26" t="n">
        <x:v>2023</x:v>
      </x:c>
      <x:c r="H108" s="26" t="str">
        <x:v>Members</x:v>
      </x:c>
      <x:c r="I108" s="26" t="str">
        <x:v>2024</x:v>
      </x:c>
      <x:c r="J108" s="26" t="str">
        <x:v>Current (≤4 years)</x:v>
      </x:c>
      <x:c r="K108" s="26" t="str">
        <x:v>B</x:v>
      </x:c>
      <x:c r="L108" s="26" t="str">
        <x:v>2024 airline industry report with cited underlying source</x:v>
      </x:c>
      <x:c r="M108" s="26" t="str">
        <x:v>Singapore Airlines Annual Report 2023</x:v>
      </x:c>
      <x:c r="N108" s="26" t="str">
        <x:v>2024 Big Book of Airline Data</x:v>
      </x:c>
      <x:c r="O108" s="26" t="str">
        <x:v>https://ideaworkscompany.com/wp-content/uploads/2024/12/2024-Big-Book-of-Airline-Data-by-IdeaWorks-1.2.pdf</x:v>
      </x:c>
      <x:c r="P108" s="26" t="str"/>
    </x:row>
    <x:row r="109">
      <x:c r="A109" t="n">
        <x:f>COUNTIF($F$4:$F$134,"&gt;"&amp;F109)+1</x:f>
        <x:v>106</x:v>
      </x:c>
      <x:c r="B109" s="26" t="str">
        <x:v>EuroBonus</x:v>
      </x:c>
      <x:c r="C109" s="26" t="str">
        <x:v>SAS</x:v>
      </x:c>
      <x:c r="D109" s="26" t="str">
        <x:v>Airlines</x:v>
      </x:c>
      <x:c r="E109" s="26" t="str">
        <x:v>Nordics / Global</x:v>
      </x:c>
      <x:c r="F109" s="28" t="n">
        <x:v>7</x:v>
      </x:c>
      <x:c r="G109" s="26" t="n">
        <x:v>2023</x:v>
      </x:c>
      <x:c r="H109" s="26" t="str">
        <x:v>Members (over)</x:v>
      </x:c>
      <x:c r="I109" s="26" t="str">
        <x:v>2024</x:v>
      </x:c>
      <x:c r="J109" s="26" t="str">
        <x:v>Current (≤4 years)</x:v>
      </x:c>
      <x:c r="K109" s="26" t="str">
        <x:v>B</x:v>
      </x:c>
      <x:c r="L109" s="26" t="str">
        <x:v>2024 airline industry report with cited underlying source</x:v>
      </x:c>
      <x:c r="M109" s="26" t="str">
        <x:v>SAS Annual Report 2023</x:v>
      </x:c>
      <x:c r="N109" s="26" t="str">
        <x:v>2024 Big Book of Airline Data</x:v>
      </x:c>
      <x:c r="O109" s="26" t="str">
        <x:v>https://ideaworkscompany.com/wp-content/uploads/2024/12/2024-Big-Book-of-Airline-Data-by-IdeaWorks-1.2.pdf</x:v>
      </x:c>
      <x:c r="P109" s="26" t="str"/>
    </x:row>
    <x:row r="110">
      <x:c r="A110" t="n">
        <x:f>COUNTIF($F$4:$F$134,"&gt;"&amp;F110)+1</x:f>
        <x:v>106</x:v>
      </x:c>
      <x:c r="B110" s="26" t="str">
        <x:v>Tims Rewards</x:v>
      </x:c>
      <x:c r="C110" s="26" t="str">
        <x:v>Tim Hortons / Restaurant Brands International</x:v>
      </x:c>
      <x:c r="D110" s="26" t="str">
        <x:v>Restaurants &amp; QSR</x:v>
      </x:c>
      <x:c r="E110" s="26" t="str">
        <x:v>Canada</x:v>
      </x:c>
      <x:c r="F110" s="28" t="n">
        <x:v>7</x:v>
      </x:c>
      <x:c r="G110" s="26" t="n">
        <x:v>2026</x:v>
      </x:c>
      <x:c r="H110" s="26" t="str">
        <x:v>Active members (over)</x:v>
      </x:c>
      <x:c r="I110" s="26" t="str">
        <x:v>Mar-2026</x:v>
      </x:c>
      <x:c r="J110" s="26" t="str">
        <x:v>Current (≤4 years)</x:v>
      </x:c>
      <x:c r="K110" s="26" t="str">
        <x:v>A</x:v>
      </x:c>
      <x:c r="L110" s="26" t="str">
        <x:v>Official company source</x:v>
      </x:c>
      <x:c r="M110" s="26" t="str">
        <x:v>Tim Hortons priorities for 2026</x:v>
      </x:c>
      <x:c r="N110" s="26" t="str">
        <x:v>Tim Hortons priorities for 2026</x:v>
      </x:c>
      <x:c r="O110" s="26" t="str">
        <x:v>https://www.news.timhortons.ca/en/articles/what-s-brewing-for-2026--five-tim-hortons-priorities-for-serving</x:v>
      </x:c>
      <x:c r="P110" s="26" t="str"/>
    </x:row>
    <x:row r="111">
      <x:c r="A111" t="n">
        <x:f>COUNTIF($F$4:$F$134,"&gt;"&amp;F111)+1</x:f>
        <x:v>108</x:v>
      </x:c>
      <x:c r="B111" s="26" t="str">
        <x:v>S7 Priority</x:v>
      </x:c>
      <x:c r="C111" s="26" t="str">
        <x:v>S7 Airlines</x:v>
      </x:c>
      <x:c r="D111" s="26" t="str">
        <x:v>Airlines</x:v>
      </x:c>
      <x:c r="E111" s="26" t="str">
        <x:v>Russia / Global</x:v>
      </x:c>
      <x:c r="F111" s="28" t="n">
        <x:v>6</x:v>
      </x:c>
      <x:c r="G111" s="26" t="n">
        <x:v>2023</x:v>
      </x:c>
      <x:c r="H111" s="26" t="str">
        <x:v>Members</x:v>
      </x:c>
      <x:c r="I111" s="26" t="str">
        <x:v>2023</x:v>
      </x:c>
      <x:c r="J111" s="26" t="str">
        <x:v>Current (≤4 years)</x:v>
      </x:c>
      <x:c r="K111" s="26" t="str">
        <x:v>B</x:v>
      </x:c>
      <x:c r="L111" s="26" t="str">
        <x:v>2024 airline industry report with cited underlying source</x:v>
      </x:c>
      <x:c r="M111" s="26" t="str">
        <x:v>S7 press release, Nov 2023</x:v>
      </x:c>
      <x:c r="N111" s="26" t="str">
        <x:v>2024 Big Book of Airline Data</x:v>
      </x:c>
      <x:c r="O111" s="26" t="str">
        <x:v>https://ideaworkscompany.com/wp-content/uploads/2024/12/2024-Big-Book-of-Airline-Data-by-IdeaWorks-1.2.pdf</x:v>
      </x:c>
      <x:c r="P111" s="26" t="str"/>
    </x:row>
    <x:row r="112">
      <x:c r="A112" t="n">
        <x:f>COUNTIF($F$4:$F$134,"&gt;"&amp;F112)+1</x:f>
        <x:v>109</x:v>
      </x:c>
      <x:c r="B112" s="26" t="str">
        <x:v>Mabuhay Miles</x:v>
      </x:c>
      <x:c r="C112" s="26" t="str">
        <x:v>Philippine Airlines</x:v>
      </x:c>
      <x:c r="D112" s="26" t="str">
        <x:v>Airlines</x:v>
      </x:c>
      <x:c r="E112" s="26" t="str">
        <x:v>Philippines / Global</x:v>
      </x:c>
      <x:c r="F112" s="28" t="n">
        <x:v>5.7</x:v>
      </x:c>
      <x:c r="G112" s="26" t="n">
        <x:v>2023</x:v>
      </x:c>
      <x:c r="H112" s="26" t="str">
        <x:v>Members</x:v>
      </x:c>
      <x:c r="I112" s="26" t="str">
        <x:v>2024</x:v>
      </x:c>
      <x:c r="J112" s="26" t="str">
        <x:v>Current (≤4 years)</x:v>
      </x:c>
      <x:c r="K112" s="26" t="str">
        <x:v>B</x:v>
      </x:c>
      <x:c r="L112" s="26" t="str">
        <x:v>2024 airline industry report with cited underlying source</x:v>
      </x:c>
      <x:c r="M112" s="26" t="str">
        <x:v>Philippine Airlines Annual Report 2023</x:v>
      </x:c>
      <x:c r="N112" s="26" t="str">
        <x:v>2024 Big Book of Airline Data</x:v>
      </x:c>
      <x:c r="O112" s="26" t="str">
        <x:v>https://ideaworkscompany.com/wp-content/uploads/2024/12/2024-Big-Book-of-Airline-Data-by-IdeaWorks-1.2.pdf</x:v>
      </x:c>
      <x:c r="P112" s="26" t="str"/>
    </x:row>
    <x:row r="113">
      <x:c r="A113" t="n">
        <x:f>COUNTIF($F$4:$F$134,"&gt;"&amp;F113)+1</x:f>
        <x:v>110</x:v>
      </x:c>
      <x:c r="B113" s="26" t="str">
        <x:v>Lotusmiles</x:v>
      </x:c>
      <x:c r="C113" s="26" t="str">
        <x:v>Vietnam Airlines</x:v>
      </x:c>
      <x:c r="D113" s="26" t="str">
        <x:v>Airlines</x:v>
      </x:c>
      <x:c r="E113" s="26" t="str">
        <x:v>Vietnam / Global</x:v>
      </x:c>
      <x:c r="F113" s="28" t="n">
        <x:v>5.323196</x:v>
      </x:c>
      <x:c r="G113" s="26" t="n">
        <x:v>2023</x:v>
      </x:c>
      <x:c r="H113" s="26" t="str">
        <x:v>Members</x:v>
      </x:c>
      <x:c r="I113" s="26" t="str">
        <x:v>2024</x:v>
      </x:c>
      <x:c r="J113" s="26" t="str">
        <x:v>Current (≤4 years)</x:v>
      </x:c>
      <x:c r="K113" s="26" t="str">
        <x:v>B</x:v>
      </x:c>
      <x:c r="L113" s="26" t="str">
        <x:v>2024 airline industry report with cited underlying source</x:v>
      </x:c>
      <x:c r="M113" s="26" t="str">
        <x:v>Vietnam Airlines Annual Report 2023</x:v>
      </x:c>
      <x:c r="N113" s="26" t="str">
        <x:v>2024 Big Book of Airline Data</x:v>
      </x:c>
      <x:c r="O113" s="26" t="str">
        <x:v>https://ideaworkscompany.com/wp-content/uploads/2024/12/2024-Big-Book-of-Airline-Data-by-IdeaWorks-1.2.pdf</x:v>
      </x:c>
      <x:c r="P113" s="26" t="str"/>
    </x:row>
    <x:row r="114">
      <x:c r="A114" t="n">
        <x:f>COUNTIF($F$4:$F$134,"&gt;"&amp;F114)+1</x:f>
        <x:v>111</x:v>
      </x:c>
      <x:c r="B114" s="26" t="str">
        <x:v>Finnair Plus</x:v>
      </x:c>
      <x:c r="C114" s="26" t="str">
        <x:v>Finnair</x:v>
      </x:c>
      <x:c r="D114" s="26" t="str">
        <x:v>Airlines</x:v>
      </x:c>
      <x:c r="E114" s="26" t="str">
        <x:v>Finland / Global</x:v>
      </x:c>
      <x:c r="F114" s="28" t="n">
        <x:v>4.5</x:v>
      </x:c>
      <x:c r="G114" s="26" t="n">
        <x:v>2023</x:v>
      </x:c>
      <x:c r="H114" s="26" t="str">
        <x:v>Members</x:v>
      </x:c>
      <x:c r="I114" s="26" t="str">
        <x:v>2024</x:v>
      </x:c>
      <x:c r="J114" s="26" t="str">
        <x:v>Current (≤4 years)</x:v>
      </x:c>
      <x:c r="K114" s="26" t="str">
        <x:v>B</x:v>
      </x:c>
      <x:c r="L114" s="26" t="str">
        <x:v>2024 airline industry report with cited underlying source</x:v>
      </x:c>
      <x:c r="M114" s="26" t="str">
        <x:v>Finnair Annual Report 2023</x:v>
      </x:c>
      <x:c r="N114" s="26" t="str">
        <x:v>2024 Big Book of Airline Data</x:v>
      </x:c>
      <x:c r="O114" s="26" t="str">
        <x:v>https://ideaworkscompany.com/wp-content/uploads/2024/12/2024-Big-Book-of-Airline-Data-by-IdeaWorks-1.2.pdf</x:v>
      </x:c>
      <x:c r="P114" s="26" t="str"/>
    </x:row>
    <x:row r="115">
      <x:c r="A115" t="n">
        <x:f>COUNTIF($F$4:$F$134,"&gt;"&amp;F115)+1</x:f>
        <x:v>112</x:v>
      </x:c>
      <x:c r="B115" s="26" t="str">
        <x:v>Airpoints</x:v>
      </x:c>
      <x:c r="C115" s="26" t="str">
        <x:v>Air New Zealand</x:v>
      </x:c>
      <x:c r="D115" s="26" t="str">
        <x:v>Airlines</x:v>
      </x:c>
      <x:c r="E115" s="26" t="str">
        <x:v>New Zealand / Global</x:v>
      </x:c>
      <x:c r="F115" s="28" t="n">
        <x:v>4.2</x:v>
      </x:c>
      <x:c r="G115" s="26" t="n">
        <x:v>2023</x:v>
      </x:c>
      <x:c r="H115" s="26" t="str">
        <x:v>Members</x:v>
      </x:c>
      <x:c r="I115" s="26" t="str">
        <x:v>2023</x:v>
      </x:c>
      <x:c r="J115" s="26" t="str">
        <x:v>Current (≤4 years)</x:v>
      </x:c>
      <x:c r="K115" s="26" t="str">
        <x:v>B</x:v>
      </x:c>
      <x:c r="L115" s="26" t="str">
        <x:v>2024 airline industry report with cited underlying source</x:v>
      </x:c>
      <x:c r="M115" s="26" t="str">
        <x:v>Air New Zealand Annual Report 2023</x:v>
      </x:c>
      <x:c r="N115" s="26" t="str">
        <x:v>2024 Big Book of Airline Data</x:v>
      </x:c>
      <x:c r="O115" s="26" t="str">
        <x:v>https://ideaworkscompany.com/wp-content/uploads/2024/12/2024-Big-Book-of-Airline-Data-by-IdeaWorks-1.2.pdf</x:v>
      </x:c>
      <x:c r="P115" s="26" t="str"/>
    </x:row>
    <x:row r="116">
      <x:c r="A116" t="n">
        <x:f>COUNTIF($F$4:$F$134,"&gt;"&amp;F116)+1</x:f>
        <x:v>113</x:v>
      </x:c>
      <x:c r="B116" s="26" t="str">
        <x:v>Flying Returns</x:v>
      </x:c>
      <x:c r="C116" s="26" t="str">
        <x:v>Air India</x:v>
      </x:c>
      <x:c r="D116" s="26" t="str">
        <x:v>Airlines</x:v>
      </x:c>
      <x:c r="E116" s="26" t="str">
        <x:v>India / Global</x:v>
      </x:c>
      <x:c r="F116" s="28" t="n">
        <x:v>4</x:v>
      </x:c>
      <x:c r="G116" s="26" t="n">
        <x:v>2023</x:v>
      </x:c>
      <x:c r="H116" s="26" t="str">
        <x:v>Members</x:v>
      </x:c>
      <x:c r="I116" s="26" t="str">
        <x:v>2023</x:v>
      </x:c>
      <x:c r="J116" s="26" t="str">
        <x:v>Current (≤4 years)</x:v>
      </x:c>
      <x:c r="K116" s="26" t="str">
        <x:v>C</x:v>
      </x:c>
      <x:c r="L116" s="26" t="str">
        <x:v>2024 airline industry report with cited underlying source</x:v>
      </x:c>
      <x:c r="M116" s="26" t="str">
        <x:v>Business Standard, Dec 2023</x:v>
      </x:c>
      <x:c r="N116" s="26" t="str">
        <x:v>2024 Big Book of Airline Data</x:v>
      </x:c>
      <x:c r="O116" s="26" t="str">
        <x:v>https://ideaworkscompany.com/wp-content/uploads/2024/12/2024-Big-Book-of-Airline-Data-by-IdeaWorks-1.2.pdf</x:v>
      </x:c>
      <x:c r="P116" s="26" t="str"/>
    </x:row>
    <x:row r="117">
      <x:c r="A117" t="n">
        <x:f>COUNTIF($F$4:$F$134,"&gt;"&amp;F117)+1</x:f>
        <x:v>113</x:v>
      </x:c>
      <x:c r="B117" s="26" t="str">
        <x:v>Norwegian Reward</x:v>
      </x:c>
      <x:c r="C117" s="26" t="str">
        <x:v>Norwegian Air Shuttle</x:v>
      </x:c>
      <x:c r="D117" s="26" t="str">
        <x:v>Airlines</x:v>
      </x:c>
      <x:c r="E117" s="26" t="str">
        <x:v>Europe / Global</x:v>
      </x:c>
      <x:c r="F117" s="28" t="n">
        <x:v>4</x:v>
      </x:c>
      <x:c r="G117" s="26" t="n">
        <x:v>2023</x:v>
      </x:c>
      <x:c r="H117" s="26" t="str">
        <x:v>Members</x:v>
      </x:c>
      <x:c r="I117" s="26" t="str">
        <x:v>2024</x:v>
      </x:c>
      <x:c r="J117" s="26" t="str">
        <x:v>Current (≤4 years)</x:v>
      </x:c>
      <x:c r="K117" s="26" t="str">
        <x:v>B</x:v>
      </x:c>
      <x:c r="L117" s="26" t="str">
        <x:v>2024 airline industry report with cited underlying source</x:v>
      </x:c>
      <x:c r="M117" s="26" t="str">
        <x:v>Norwegian Annual Report 2023</x:v>
      </x:c>
      <x:c r="N117" s="26" t="str">
        <x:v>2024 Big Book of Airline Data</x:v>
      </x:c>
      <x:c r="O117" s="26" t="str">
        <x:v>https://ideaworkscompany.com/wp-content/uploads/2024/12/2024-Big-Book-of-Airline-Data-by-IdeaWorks-1.2.pdf</x:v>
      </x:c>
      <x:c r="P117" s="26" t="str"/>
    </x:row>
    <x:row r="118">
      <x:c r="A118" t="n">
        <x:f>COUNTIF($F$4:$F$134,"&gt;"&amp;F118)+1</x:f>
        <x:v>113</x:v>
      </x:c>
      <x:c r="B118" s="26" t="str">
        <x:v>Royal Orchid Plus</x:v>
      </x:c>
      <x:c r="C118" s="26" t="str">
        <x:v>Thai Airways International</x:v>
      </x:c>
      <x:c r="D118" s="26" t="str">
        <x:v>Airlines</x:v>
      </x:c>
      <x:c r="E118" s="26" t="str">
        <x:v>Thailand / Global</x:v>
      </x:c>
      <x:c r="F118" s="28" t="n">
        <x:v>4</x:v>
      </x:c>
      <x:c r="G118" s="26" t="n">
        <x:v>2021</x:v>
      </x:c>
      <x:c r="H118" s="26" t="str">
        <x:v>Members</x:v>
      </x:c>
      <x:c r="I118" s="26" t="str">
        <x:v>2022</x:v>
      </x:c>
      <x:c r="J118" s="26" t="str">
        <x:v>Current (≤4 years)</x:v>
      </x:c>
      <x:c r="K118" s="26" t="str">
        <x:v>C</x:v>
      </x:c>
      <x:c r="L118" s="26" t="str">
        <x:v>2024 airline industry report with cited underlying source</x:v>
      </x:c>
      <x:c r="M118" s="26" t="str">
        <x:v>Thai Airways Annual Report 2021</x:v>
      </x:c>
      <x:c r="N118" s="26" t="str">
        <x:v>2024 Big Book of Airline Data</x:v>
      </x:c>
      <x:c r="O118" s="26" t="str">
        <x:v>https://ideaworkscompany.com/wp-content/uploads/2024/12/2024-Big-Book-of-Airline-Data-by-IdeaWorks-1.2.pdf</x:v>
      </x:c>
      <x:c r="P118" s="26" t="str">
        <x:v>Disclosure is older than four years.</x:v>
      </x:c>
    </x:row>
    <x:row r="119">
      <x:c r="A119" t="n">
        <x:f>COUNTIF($F$4:$F$134,"&gt;"&amp;F119)+1</x:f>
        <x:v>116</x:v>
      </x:c>
      <x:c r="B119" s="26" t="str">
        <x:v>Aerolíneas Plus</x:v>
      </x:c>
      <x:c r="C119" s="26" t="str">
        <x:v>Aerolíneas Argentinas</x:v>
      </x:c>
      <x:c r="D119" s="26" t="str">
        <x:v>Airlines</x:v>
      </x:c>
      <x:c r="E119" s="26" t="str">
        <x:v>Argentina / Global</x:v>
      </x:c>
      <x:c r="F119" s="28" t="n">
        <x:v>3</x:v>
      </x:c>
      <x:c r="G119" s="26" t="n">
        <x:v>2023</x:v>
      </x:c>
      <x:c r="H119" s="26" t="str">
        <x:v>Members</x:v>
      </x:c>
      <x:c r="I119" s="26" t="str">
        <x:v>2023</x:v>
      </x:c>
      <x:c r="J119" s="26" t="str">
        <x:v>Current (≤4 years)</x:v>
      </x:c>
      <x:c r="K119" s="26" t="str">
        <x:v>B</x:v>
      </x:c>
      <x:c r="L119" s="26" t="str">
        <x:v>2024 airline industry report with cited underlying source</x:v>
      </x:c>
      <x:c r="M119" s="26" t="str">
        <x:v>Airline website disclosure</x:v>
      </x:c>
      <x:c r="N119" s="26" t="str">
        <x:v>2024 Big Book of Airline Data</x:v>
      </x:c>
      <x:c r="O119" s="26" t="str">
        <x:v>https://ideaworkscompany.com/wp-content/uploads/2024/12/2024-Big-Book-of-Airline-Data-by-IdeaWorks-1.2.pdf</x:v>
      </x:c>
      <x:c r="P119" s="26" t="str"/>
    </x:row>
    <x:row r="120">
      <x:c r="A120" t="n">
        <x:f>COUNTIF($F$4:$F$134,"&gt;"&amp;F120)+1</x:f>
        <x:v>116</x:v>
      </x:c>
      <x:c r="B120" s="26" t="str">
        <x:v>Doters</x:v>
      </x:c>
      <x:c r="C120" s="26" t="str">
        <x:v>Viva Aerobus</x:v>
      </x:c>
      <x:c r="D120" s="26" t="str">
        <x:v>Airlines</x:v>
      </x:c>
      <x:c r="E120" s="26" t="str">
        <x:v>Mexico</x:v>
      </x:c>
      <x:c r="F120" s="28" t="n">
        <x:v>3</x:v>
      </x:c>
      <x:c r="G120" s="26" t="n">
        <x:v>2022</x:v>
      </x:c>
      <x:c r="H120" s="26" t="str">
        <x:v>Projected members</x:v>
      </x:c>
      <x:c r="I120" s="26" t="str">
        <x:v>2023</x:v>
      </x:c>
      <x:c r="J120" s="26" t="str">
        <x:v>Current (≤4 years)</x:v>
      </x:c>
      <x:c r="K120" s="26" t="str">
        <x:v>C</x:v>
      </x:c>
      <x:c r="L120" s="26" t="str">
        <x:v>2024 airline industry report with cited underlying source</x:v>
      </x:c>
      <x:c r="M120" s="26" t="str">
        <x:v>Viva Aerobus Annual Report / projection</x:v>
      </x:c>
      <x:c r="N120" s="26" t="str">
        <x:v>2024 Big Book of Airline Data</x:v>
      </x:c>
      <x:c r="O120" s="26" t="str">
        <x:v>https://ideaworkscompany.com/wp-content/uploads/2024/12/2024-Big-Book-of-Airline-Data-by-IdeaWorks-1.2.pdf</x:v>
      </x:c>
      <x:c r="P120" s="26" t="str"/>
    </x:row>
    <x:row r="121">
      <x:c r="A121" t="n">
        <x:f>COUNTIF($F$4:$F$134,"&gt;"&amp;F121)+1</x:f>
        <x:v>116</x:v>
      </x:c>
      <x:c r="B121" s="26" t="str">
        <x:v>Matmid</x:v>
      </x:c>
      <x:c r="C121" s="26" t="str">
        <x:v>El Al Israel Airlines</x:v>
      </x:c>
      <x:c r="D121" s="26" t="str">
        <x:v>Airlines</x:v>
      </x:c>
      <x:c r="E121" s="26" t="str">
        <x:v>Israel / Global</x:v>
      </x:c>
      <x:c r="F121" s="28" t="n">
        <x:v>3</x:v>
      </x:c>
      <x:c r="G121" s="26" t="n">
        <x:v>2023</x:v>
      </x:c>
      <x:c r="H121" s="26" t="str">
        <x:v>Members</x:v>
      </x:c>
      <x:c r="I121" s="26" t="str">
        <x:v>2023</x:v>
      </x:c>
      <x:c r="J121" s="26" t="str">
        <x:v>Current (≤4 years)</x:v>
      </x:c>
      <x:c r="K121" s="26" t="str">
        <x:v>B</x:v>
      </x:c>
      <x:c r="L121" s="26" t="str">
        <x:v>2024 airline industry report with cited underlying source</x:v>
      </x:c>
      <x:c r="M121" s="26" t="str">
        <x:v>El Al investor presentation 2023</x:v>
      </x:c>
      <x:c r="N121" s="26" t="str">
        <x:v>2024 Big Book of Airline Data</x:v>
      </x:c>
      <x:c r="O121" s="26" t="str">
        <x:v>https://ideaworkscompany.com/wp-content/uploads/2024/12/2024-Big-Book-of-Airline-Data-by-IdeaWorks-1.2.pdf</x:v>
      </x:c>
      <x:c r="P121" s="26" t="str"/>
    </x:row>
    <x:row r="122">
      <x:c r="A122" t="n">
        <x:f>COUNTIF($F$4:$F$134,"&gt;"&amp;F122)+1</x:f>
        <x:v>116</x:v>
      </x:c>
      <x:c r="B122" s="26" t="str">
        <x:v>Skybucks</x:v>
      </x:c>
      <x:c r="C122" s="26" t="str">
        <x:v>Airlink</x:v>
      </x:c>
      <x:c r="D122" s="26" t="str">
        <x:v>Airlines</x:v>
      </x:c>
      <x:c r="E122" s="26" t="str">
        <x:v>Southern Africa</x:v>
      </x:c>
      <x:c r="F122" s="28" t="n">
        <x:v>3</x:v>
      </x:c>
      <x:c r="G122" s="26" t="n">
        <x:v>2023</x:v>
      </x:c>
      <x:c r="H122" s="26" t="str">
        <x:v>Members</x:v>
      </x:c>
      <x:c r="I122" s="26" t="str">
        <x:v>2023</x:v>
      </x:c>
      <x:c r="J122" s="26" t="str">
        <x:v>Current (≤4 years)</x:v>
      </x:c>
      <x:c r="K122" s="26" t="str">
        <x:v>B</x:v>
      </x:c>
      <x:c r="L122" s="26" t="str">
        <x:v>2024 airline industry report with cited underlying source</x:v>
      </x:c>
      <x:c r="M122" s="26" t="str">
        <x:v>Airlink company brochure, Jun 2023</x:v>
      </x:c>
      <x:c r="N122" s="26" t="str">
        <x:v>2024 Big Book of Airline Data</x:v>
      </x:c>
      <x:c r="O122" s="26" t="str">
        <x:v>https://ideaworkscompany.com/wp-content/uploads/2024/12/2024-Big-Book-of-Airline-Data-by-IdeaWorks-1.2.pdf</x:v>
      </x:c>
      <x:c r="P122" s="26" t="str"/>
    </x:row>
    <x:row r="123">
      <x:c r="A123" t="n">
        <x:f>COUNTIF($F$4:$F$134,"&gt;"&amp;F123)+1</x:f>
        <x:v>120</x:v>
      </x:c>
      <x:c r="B123" s="26" t="str">
        <x:v>GarudaMiles</x:v>
      </x:c>
      <x:c r="C123" s="26" t="str">
        <x:v>Garuda Indonesia</x:v>
      </x:c>
      <x:c r="D123" s="26" t="str">
        <x:v>Airlines</x:v>
      </x:c>
      <x:c r="E123" s="26" t="str">
        <x:v>Indonesia / Global</x:v>
      </x:c>
      <x:c r="F123" s="28" t="n">
        <x:v>2.05</x:v>
      </x:c>
      <x:c r="G123" s="26" t="n">
        <x:v>2023</x:v>
      </x:c>
      <x:c r="H123" s="26" t="str">
        <x:v>Members</x:v>
      </x:c>
      <x:c r="I123" s="26" t="str">
        <x:v>2024</x:v>
      </x:c>
      <x:c r="J123" s="26" t="str">
        <x:v>Current (≤4 years)</x:v>
      </x:c>
      <x:c r="K123" s="26" t="str">
        <x:v>B</x:v>
      </x:c>
      <x:c r="L123" s="26" t="str">
        <x:v>2024 airline industry report with cited underlying source</x:v>
      </x:c>
      <x:c r="M123" s="26" t="str">
        <x:v>Garuda Indonesia Annual Report 2023</x:v>
      </x:c>
      <x:c r="N123" s="26" t="str">
        <x:v>2024 Big Book of Airline Data</x:v>
      </x:c>
      <x:c r="O123" s="26" t="str">
        <x:v>https://ideaworkscompany.com/wp-content/uploads/2024/12/2024-Big-Book-of-Airline-Data-by-IdeaWorks-1.2.pdf</x:v>
      </x:c>
      <x:c r="P123" s="26" t="str"/>
    </x:row>
    <x:row r="124">
      <x:c r="A124" t="n">
        <x:f>COUNTIF($F$4:$F$134,"&gt;"&amp;F124)+1</x:f>
        <x:v>121</x:v>
      </x:c>
      <x:c r="B124" s="26" t="str">
        <x:v>SUMA</x:v>
      </x:c>
      <x:c r="C124" s="26" t="str">
        <x:v>Air Europa</x:v>
      </x:c>
      <x:c r="D124" s="26" t="str">
        <x:v>Airlines</x:v>
      </x:c>
      <x:c r="E124" s="26" t="str">
        <x:v>Spain / Global</x:v>
      </x:c>
      <x:c r="F124" s="28" t="n">
        <x:v>2</x:v>
      </x:c>
      <x:c r="G124" s="26" t="n">
        <x:v>2023</x:v>
      </x:c>
      <x:c r="H124" s="26" t="str">
        <x:v>Members</x:v>
      </x:c>
      <x:c r="I124" s="26" t="str">
        <x:v>2023</x:v>
      </x:c>
      <x:c r="J124" s="26" t="str">
        <x:v>Current (≤4 years)</x:v>
      </x:c>
      <x:c r="K124" s="26" t="str">
        <x:v>B</x:v>
      </x:c>
      <x:c r="L124" s="26" t="str">
        <x:v>2024 airline industry report with cited underlying source</x:v>
      </x:c>
      <x:c r="M124" s="26" t="str">
        <x:v>Air Europa press release, Feb 2023</x:v>
      </x:c>
      <x:c r="N124" s="26" t="str">
        <x:v>2024 Big Book of Airline Data</x:v>
      </x:c>
      <x:c r="O124" s="26" t="str">
        <x:v>https://ideaworkscompany.com/wp-content/uploads/2024/12/2024-Big-Book-of-Airline-Data-by-IdeaWorks-1.2.pdf</x:v>
      </x:c>
      <x:c r="P124" s="26" t="str"/>
    </x:row>
    <x:row r="125">
      <x:c r="A125" t="n">
        <x:f>COUNTIF($F$4:$F$134,"&gt;"&amp;F125)+1</x:f>
        <x:v>122</x:v>
      </x:c>
      <x:c r="B125" s="26" t="str">
        <x:v>dm active beauty</x:v>
      </x:c>
      <x:c r="C125" s="26" t="str">
        <x:v>dm-drogerie markt Czech Republic</x:v>
      </x:c>
      <x:c r="D125" s="26" t="str">
        <x:v>Retail &amp; beauty</x:v>
      </x:c>
      <x:c r="E125" s="26" t="str">
        <x:v>Czech Republic</x:v>
      </x:c>
      <x:c r="F125" s="28" t="n">
        <x:v>1.9</x:v>
      </x:c>
      <x:c r="G125" s="26" t="n">
        <x:v>2026</x:v>
      </x:c>
      <x:c r="H125" s="26" t="str">
        <x:v>Active users (over)</x:v>
      </x:c>
      <x:c r="I125" s="26" t="str">
        <x:v>Feb-2026</x:v>
      </x:c>
      <x:c r="J125" s="26" t="str">
        <x:v>Current (≤4 years)</x:v>
      </x:c>
      <x:c r="K125" s="26" t="str">
        <x:v>A</x:v>
      </x:c>
      <x:c r="L125" s="26" t="str">
        <x:v>Official company source</x:v>
      </x:c>
      <x:c r="M125" s="26" t="str">
        <x:v>dm leads in customer experience</x:v>
      </x:c>
      <x:c r="N125" s="26" t="str">
        <x:v>dm leads in customer experience</x:v>
      </x:c>
      <x:c r="O125" s="26" t="str">
        <x:v>https://www.dm.cz/o-spolecnosti/presscentrum/tiskove-zpravy/svet-dm/dm-vede-v-zakaznicke-zkusenosti-16-02-2026-3301580</x:v>
      </x:c>
      <x:c r="P125" s="26" t="str"/>
    </x:row>
    <x:row r="126">
      <x:c r="A126" t="n">
        <x:f>COUNTIF($F$4:$F$134,"&gt;"&amp;F126)+1</x:f>
        <x:v>123</x:v>
      </x:c>
      <x:c r="B126" s="26" t="str">
        <x:v>Volare</x:v>
      </x:c>
      <x:c r="C126" s="26" t="str">
        <x:v>ITA Airways</x:v>
      </x:c>
      <x:c r="D126" s="26" t="str">
        <x:v>Airlines</x:v>
      </x:c>
      <x:c r="E126" s="26" t="str">
        <x:v>Italy / Global</x:v>
      </x:c>
      <x:c r="F126" s="28" t="n">
        <x:v>1.6</x:v>
      </x:c>
      <x:c r="G126" s="26" t="n">
        <x:v>2022</x:v>
      </x:c>
      <x:c r="H126" s="26" t="str">
        <x:v>Members</x:v>
      </x:c>
      <x:c r="I126" s="26" t="str">
        <x:v>2022</x:v>
      </x:c>
      <x:c r="J126" s="26" t="str">
        <x:v>Current (≤4 years)</x:v>
      </x:c>
      <x:c r="K126" s="26" t="str">
        <x:v>B</x:v>
      </x:c>
      <x:c r="L126" s="26" t="str">
        <x:v>2024 airline industry report with cited underlying source</x:v>
      </x:c>
      <x:c r="M126" s="26" t="str">
        <x:v>ITA Airways press release, Dec 2022</x:v>
      </x:c>
      <x:c r="N126" s="26" t="str">
        <x:v>2024 Big Book of Airline Data</x:v>
      </x:c>
      <x:c r="O126" s="26" t="str">
        <x:v>https://ideaworkscompany.com/wp-content/uploads/2024/12/2024-Big-Book-of-Airline-Data-by-IdeaWorks-1.2.pdf</x:v>
      </x:c>
      <x:c r="P126" s="26" t="str"/>
    </x:row>
    <x:row r="127">
      <x:c r="A127" t="n">
        <x:f>COUNTIF($F$4:$F$134,"&gt;"&amp;F127)+1</x:f>
        <x:v>124</x:v>
      </x:c>
      <x:c r="B127" s="26" t="str">
        <x:v>FlyerBonus</x:v>
      </x:c>
      <x:c r="C127" s="26" t="str">
        <x:v>Bangkok Airways</x:v>
      </x:c>
      <x:c r="D127" s="26" t="str">
        <x:v>Airlines</x:v>
      </x:c>
      <x:c r="E127" s="26" t="str">
        <x:v>Thailand / Asia</x:v>
      </x:c>
      <x:c r="F127" s="28" t="n">
        <x:v>1.408102</x:v>
      </x:c>
      <x:c r="G127" s="26" t="n">
        <x:v>2023</x:v>
      </x:c>
      <x:c r="H127" s="26" t="str">
        <x:v>Members</x:v>
      </x:c>
      <x:c r="I127" s="26" t="str">
        <x:v>2024</x:v>
      </x:c>
      <x:c r="J127" s="26" t="str">
        <x:v>Current (≤4 years)</x:v>
      </x:c>
      <x:c r="K127" s="26" t="str">
        <x:v>B</x:v>
      </x:c>
      <x:c r="L127" s="26" t="str">
        <x:v>2024 airline industry report with cited underlying source</x:v>
      </x:c>
      <x:c r="M127" s="26" t="str">
        <x:v>Bangkok Airways Annual Report 2023</x:v>
      </x:c>
      <x:c r="N127" s="26" t="str">
        <x:v>2024 Big Book of Airline Data</x:v>
      </x:c>
      <x:c r="O127" s="26" t="str">
        <x:v>https://ideaworkscompany.com/wp-content/uploads/2024/12/2024-Big-Book-of-Airline-Data-by-IdeaWorks-1.2.pdf</x:v>
      </x:c>
      <x:c r="P127" s="26" t="str"/>
    </x:row>
    <x:row r="128">
      <x:c r="A128" t="n">
        <x:f>COUNTIF($F$4:$F$134,"&gt;"&amp;F128)+1</x:f>
        <x:v>125</x:v>
      </x:c>
      <x:c r="B128" s="26" t="str">
        <x:v>Saga Club</x:v>
      </x:c>
      <x:c r="C128" s="26" t="str">
        <x:v>Icelandair Group</x:v>
      </x:c>
      <x:c r="D128" s="26" t="str">
        <x:v>Airlines</x:v>
      </x:c>
      <x:c r="E128" s="26" t="str">
        <x:v>Iceland / Global</x:v>
      </x:c>
      <x:c r="F128" s="28" t="n">
        <x:v>1.3</x:v>
      </x:c>
      <x:c r="G128" s="26" t="n">
        <x:v>2022</x:v>
      </x:c>
      <x:c r="H128" s="26" t="str">
        <x:v>Members</x:v>
      </x:c>
      <x:c r="I128" s="26" t="str">
        <x:v>2023</x:v>
      </x:c>
      <x:c r="J128" s="26" t="str">
        <x:v>Current (≤4 years)</x:v>
      </x:c>
      <x:c r="K128" s="26" t="str">
        <x:v>B</x:v>
      </x:c>
      <x:c r="L128" s="26" t="str">
        <x:v>2024 airline industry report with cited underlying source</x:v>
      </x:c>
      <x:c r="M128" s="26" t="str">
        <x:v>Icelandair Annual Report 2022</x:v>
      </x:c>
      <x:c r="N128" s="26" t="str">
        <x:v>2024 Big Book of Airline Data</x:v>
      </x:c>
      <x:c r="O128" s="26" t="str">
        <x:v>https://ideaworkscompany.com/wp-content/uploads/2024/12/2024-Big-Book-of-Airline-Data-by-IdeaWorks-1.2.pdf</x:v>
      </x:c>
      <x:c r="P128" s="26" t="str"/>
    </x:row>
    <x:row r="129">
      <x:c r="A129" t="n">
        <x:f>COUNTIF($F$4:$F$134,"&gt;"&amp;F129)+1</x:f>
        <x:v>126</x:v>
      </x:c>
      <x:c r="B129" s="26" t="str">
        <x:v>airBaltic Club</x:v>
      </x:c>
      <x:c r="C129" s="26" t="str">
        <x:v>airBaltic</x:v>
      </x:c>
      <x:c r="D129" s="26" t="str">
        <x:v>Airlines</x:v>
      </x:c>
      <x:c r="E129" s="26" t="str">
        <x:v>Baltics / Europe</x:v>
      </x:c>
      <x:c r="F129" s="28" t="n">
        <x:v>1.09075</x:v>
      </x:c>
      <x:c r="G129" s="26" t="n">
        <x:v>2023</x:v>
      </x:c>
      <x:c r="H129" s="26" t="str">
        <x:v>Members</x:v>
      </x:c>
      <x:c r="I129" s="26" t="str">
        <x:v>2024</x:v>
      </x:c>
      <x:c r="J129" s="26" t="str">
        <x:v>Current (≤4 years)</x:v>
      </x:c>
      <x:c r="K129" s="26" t="str">
        <x:v>B</x:v>
      </x:c>
      <x:c r="L129" s="26" t="str">
        <x:v>2024 airline industry report with cited underlying source</x:v>
      </x:c>
      <x:c r="M129" s="26" t="str">
        <x:v>airBaltic Annual Report 2023</x:v>
      </x:c>
      <x:c r="N129" s="26" t="str">
        <x:v>2024 Big Book of Airline Data</x:v>
      </x:c>
      <x:c r="O129" s="26" t="str">
        <x:v>https://ideaworkscompany.com/wp-content/uploads/2024/12/2024-Big-Book-of-Airline-Data-by-IdeaWorks-1.2.pdf</x:v>
      </x:c>
      <x:c r="P129" s="26" t="str"/>
    </x:row>
    <x:row r="130">
      <x:c r="A130" t="n">
        <x:f>COUNTIF($F$4:$F$134,"&gt;"&amp;F130)+1</x:f>
        <x:v>127</x:v>
      </x:c>
      <x:c r="B130" s="26" t="str">
        <x:v>tigerclub</x:v>
      </x:c>
      <x:c r="C130" s="26" t="str">
        <x:v>Tigerair Taiwan</x:v>
      </x:c>
      <x:c r="D130" s="26" t="str">
        <x:v>Airlines</x:v>
      </x:c>
      <x:c r="E130" s="26" t="str">
        <x:v>Taiwan / Asia</x:v>
      </x:c>
      <x:c r="F130" s="28" t="n">
        <x:v>0.65</x:v>
      </x:c>
      <x:c r="G130" s="26" t="n">
        <x:v>2023</x:v>
      </x:c>
      <x:c r="H130" s="26" t="str">
        <x:v>Members</x:v>
      </x:c>
      <x:c r="I130" s="26" t="str">
        <x:v>2023</x:v>
      </x:c>
      <x:c r="J130" s="26" t="str">
        <x:v>Current (≤4 years)</x:v>
      </x:c>
      <x:c r="K130" s="26" t="str">
        <x:v>B</x:v>
      </x:c>
      <x:c r="L130" s="26" t="str">
        <x:v>2024 airline industry report with cited underlying source</x:v>
      </x:c>
      <x:c r="M130" s="26" t="str">
        <x:v>Tigerair Taiwan investor presentation 2023</x:v>
      </x:c>
      <x:c r="N130" s="26" t="str">
        <x:v>2024 Big Book of Airline Data</x:v>
      </x:c>
      <x:c r="O130" s="26" t="str">
        <x:v>https://ideaworkscompany.com/wp-content/uploads/2024/12/2024-Big-Book-of-Airline-Data-by-IdeaWorks-1.2.pdf</x:v>
      </x:c>
      <x:c r="P130" s="26" t="str"/>
    </x:row>
    <x:row r="131">
      <x:c r="A131" t="n">
        <x:f>COUNTIF($F$4:$F$134,"&gt;"&amp;F131)+1</x:f>
        <x:v>128</x:v>
      </x:c>
      <x:c r="B131" s="26" t="str">
        <x:v>Nomad Club</x:v>
      </x:c>
      <x:c r="C131" s="26" t="str">
        <x:v>Air Astana Group</x:v>
      </x:c>
      <x:c r="D131" s="26" t="str">
        <x:v>Airlines</x:v>
      </x:c>
      <x:c r="E131" s="26" t="str">
        <x:v>Kazakhstan / Global</x:v>
      </x:c>
      <x:c r="F131" s="28" t="n">
        <x:v>0.5</x:v>
      </x:c>
      <x:c r="G131" s="26" t="n">
        <x:v>2022</x:v>
      </x:c>
      <x:c r="H131" s="26" t="str">
        <x:v>Members</x:v>
      </x:c>
      <x:c r="I131" s="26" t="str">
        <x:v>2023</x:v>
      </x:c>
      <x:c r="J131" s="26" t="str">
        <x:v>Current (≤4 years)</x:v>
      </x:c>
      <x:c r="K131" s="26" t="str">
        <x:v>B</x:v>
      </x:c>
      <x:c r="L131" s="26" t="str">
        <x:v>2024 airline industry report with cited underlying source</x:v>
      </x:c>
      <x:c r="M131" s="26" t="str">
        <x:v>Air Astana Annual Report 2022</x:v>
      </x:c>
      <x:c r="N131" s="26" t="str">
        <x:v>2024 Big Book of Airline Data</x:v>
      </x:c>
      <x:c r="O131" s="26" t="str">
        <x:v>https://ideaworkscompany.com/wp-content/uploads/2024/12/2024-Big-Book-of-Airline-Data-by-IdeaWorks-1.2.pdf</x:v>
      </x:c>
      <x:c r="P131" s="26" t="str"/>
    </x:row>
    <x:row r="132">
      <x:c r="A132" t="n">
        <x:f>COUNTIF($F$4:$F$134,"&gt;"&amp;F132)+1</x:f>
        <x:v>128</x:v>
      </x:c>
      <x:c r="B132" s="26" t="str">
        <x:v>Royal Club</x:v>
      </x:c>
      <x:c r="C132" s="26" t="str">
        <x:v>Royal Jordanian</x:v>
      </x:c>
      <x:c r="D132" s="26" t="str">
        <x:v>Airlines</x:v>
      </x:c>
      <x:c r="E132" s="26" t="str">
        <x:v>Jordan / Global</x:v>
      </x:c>
      <x:c r="F132" s="28" t="n">
        <x:v>0.5</x:v>
      </x:c>
      <x:c r="G132" s="26" t="n">
        <x:v>2022</x:v>
      </x:c>
      <x:c r="H132" s="26" t="str">
        <x:v>Members</x:v>
      </x:c>
      <x:c r="I132" s="26" t="str">
        <x:v>2023</x:v>
      </x:c>
      <x:c r="J132" s="26" t="str">
        <x:v>Current (≤4 years)</x:v>
      </x:c>
      <x:c r="K132" s="26" t="str">
        <x:v>B</x:v>
      </x:c>
      <x:c r="L132" s="26" t="str">
        <x:v>2024 airline industry report with cited underlying source</x:v>
      </x:c>
      <x:c r="M132" s="26" t="str">
        <x:v>Royal Jordanian Annual Report 2022</x:v>
      </x:c>
      <x:c r="N132" s="26" t="str">
        <x:v>2024 Big Book of Airline Data</x:v>
      </x:c>
      <x:c r="O132" s="26" t="str">
        <x:v>https://ideaworkscompany.com/wp-content/uploads/2024/12/2024-Big-Book-of-Airline-Data-by-IdeaWorks-1.2.pdf</x:v>
      </x:c>
      <x:c r="P132" s="26" t="str"/>
    </x:row>
    <x:row r="133">
      <x:c r="A133" t="n">
        <x:f>COUNTIF($F$4:$F$134,"&gt;"&amp;F133)+1</x:f>
        <x:v>130</x:v>
      </x:c>
      <x:c r="B133" s="26" t="str">
        <x:v>A+</x:v>
      </x:c>
      <x:c r="C133" s="26" t="str">
        <x:v>Azimuth Airlines</x:v>
      </x:c>
      <x:c r="D133" s="26" t="str">
        <x:v>Airlines</x:v>
      </x:c>
      <x:c r="E133" s="26" t="str">
        <x:v>Russia</x:v>
      </x:c>
      <x:c r="F133" s="28" t="n">
        <x:v>0.1</x:v>
      </x:c>
      <x:c r="G133" s="26" t="n">
        <x:v>2024</x:v>
      </x:c>
      <x:c r="H133" s="26" t="str">
        <x:v>Members</x:v>
      </x:c>
      <x:c r="I133" s="26" t="str">
        <x:v>2024</x:v>
      </x:c>
      <x:c r="J133" s="26" t="str">
        <x:v>Current (≤4 years)</x:v>
      </x:c>
      <x:c r="K133" s="26" t="str">
        <x:v>B</x:v>
      </x:c>
      <x:c r="L133" s="26" t="str">
        <x:v>2024 airline industry report with cited underlying source</x:v>
      </x:c>
      <x:c r="M133" s="26" t="str">
        <x:v>Azimuth press release, Jun 2024</x:v>
      </x:c>
      <x:c r="N133" s="26" t="str">
        <x:v>2024 Big Book of Airline Data</x:v>
      </x:c>
      <x:c r="O133" s="26" t="str">
        <x:v>https://ideaworkscompany.com/wp-content/uploads/2024/12/2024-Big-Book-of-Airline-Data-by-IdeaWorks-1.2.pdf</x:v>
      </x:c>
      <x:c r="P133" s="26" t="str"/>
    </x:row>
    <x:row r="134">
      <x:c r="A134" t="n">
        <x:f>COUNTIF($F$4:$F$134,"&gt;"&amp;F134)+1</x:f>
        <x:v>131</x:v>
      </x:c>
      <x:c r="B134" s="26" t="str">
        <x:v>SATA Imagine</x:v>
      </x:c>
      <x:c r="C134" s="26" t="str">
        <x:v>SATA Group</x:v>
      </x:c>
      <x:c r="D134" s="26" t="str">
        <x:v>Airlines</x:v>
      </x:c>
      <x:c r="E134" s="26" t="str">
        <x:v>Azores / Portugal</x:v>
      </x:c>
      <x:c r="F134" s="28" t="n">
        <x:v>0.070343</x:v>
      </x:c>
      <x:c r="G134" s="26" t="n">
        <x:v>2023</x:v>
      </x:c>
      <x:c r="H134" s="26" t="str">
        <x:v>Members</x:v>
      </x:c>
      <x:c r="I134" s="26" t="str">
        <x:v>2024</x:v>
      </x:c>
      <x:c r="J134" s="26" t="str">
        <x:v>Current (≤4 years)</x:v>
      </x:c>
      <x:c r="K134" s="26" t="str">
        <x:v>B</x:v>
      </x:c>
      <x:c r="L134" s="26" t="str">
        <x:v>2024 airline industry report with cited underlying source</x:v>
      </x:c>
      <x:c r="M134" s="26" t="str">
        <x:v>SATA Annual Report 2023</x:v>
      </x:c>
      <x:c r="N134" s="26" t="str">
        <x:v>2024 Big Book of Airline Data</x:v>
      </x:c>
      <x:c r="O134" s="26" t="str">
        <x:v>https://ideaworkscompany.com/wp-content/uploads/2024/12/2024-Big-Book-of-Airline-Data-by-IdeaWorks-1.2.pdf</x:v>
      </x:c>
      <x:c r="P134" s="26" t="str"/>
    </x:row>
  </x:sheetData>
  <x:mergeCells>
    <x:mergeCell ref="A1:P1"/>
  </x:mergeCells>
  <x:conditionalFormatting sqref="F4:F134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{53FD50F3-0A19-5D6A-0580-27F87C1CACC4}</x14:id>
        </x:ext>
      </x:extLst>
    </x:cfRule>
  </x:conditionalFormatting>
  <x:conditionalFormatting sqref="K4:K134">
    <x:cfRule type="expression" dxfId="5" priority="2">
      <x:formula>K4="A"</x:formula>
    </x:cfRule>
    <x:cfRule type="expression" dxfId="6" priority="3">
      <x:formula>K4="B"</x:formula>
    </x:cfRule>
    <x:cfRule type="expression" dxfId="7" priority="4">
      <x:formula>K4="C"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c65923fca9445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3FD50F3-0A19-5D6A-0580-27F87C1CACC4}">
            <x14:dataBar gradient="1">
              <x14:cfvo type="min"/>
              <x14:cfvo type="max"/>
              <x14:fillColor rgb="FF0F766E"/>
            </x14:dataBar>
          </x14:cfRule>
          <xm:sqref>F4:F134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9" hidden="0" customWidth="1"/>
    <x:col min="3" max="3" width="27" hidden="0" customWidth="1"/>
    <x:col min="4" max="4" width="23" hidden="0" customWidth="1"/>
    <x:col min="5" max="5" width="20" hidden="0" customWidth="1"/>
    <x:col min="6" max="6" width="15" hidden="0" customWidth="1"/>
    <x:col min="7" max="7" width="10" hidden="0" customWidth="1"/>
    <x:col min="8" max="8" width="28" hidden="0" customWidth="1"/>
    <x:col min="9" max="9" width="15" hidden="0" customWidth="1"/>
    <x:col min="10" max="10" width="18" hidden="0" customWidth="1"/>
    <x:col min="11" max="11" width="13" hidden="0" customWidth="1"/>
    <x:col min="12" max="12" width="30" hidden="0" customWidth="1"/>
    <x:col min="13" max="13" width="35" hidden="0" customWidth="1"/>
    <x:col min="14" max="14" width="31" hidden="0" customWidth="1"/>
    <x:col min="15" max="15" width="40" hidden="0" customWidth="1"/>
    <x:col min="16" max="16" width="46" hidden="0" customWidth="1"/>
  </x:cols>
  <x:sheetData>
    <x:row r="1">
      <x:c r="A1" s="4" t="str">
        <x:v>All source observations | 193 rows | alternatives retained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1" t="str">
        <x:v>Observation ID</x:v>
      </x:c>
      <x:c r="B3" s="11" t="str">
        <x:v>Program</x:v>
      </x:c>
      <x:c r="C3" s="11" t="str">
        <x:v>Parent company</x:v>
      </x:c>
      <x:c r="D3" s="11" t="str">
        <x:v>Category</x:v>
      </x:c>
      <x:c r="E3" s="11" t="str">
        <x:v>Region</x:v>
      </x:c>
      <x:c r="F3" s="11" t="str">
        <x:v>Members (million)</x:v>
      </x:c>
      <x:c r="G3" s="11" t="str">
        <x:v>Data year</x:v>
      </x:c>
      <x:c r="H3" s="11" t="str">
        <x:v>Metric definition</x:v>
      </x:c>
      <x:c r="I3" s="11" t="str">
        <x:v>Publication date</x:v>
      </x:c>
      <x:c r="J3" s="11" t="str">
        <x:v>Freshness</x:v>
      </x:c>
      <x:c r="K3" s="11" t="str">
        <x:v>Source quality</x:v>
      </x:c>
      <x:c r="L3" s="11" t="str">
        <x:v>Source type</x:v>
      </x:c>
      <x:c r="M3" s="11" t="str">
        <x:v>Underlying source / evidence</x:v>
      </x:c>
      <x:c r="N3" s="11" t="str">
        <x:v>Source document</x:v>
      </x:c>
      <x:c r="O3" s="11" t="str">
        <x:v>Source URL</x:v>
      </x:c>
      <x:c r="P3" s="11" t="str">
        <x:v>Notes</x:v>
      </x:c>
    </x:row>
    <x:row r="4">
      <x:c r="A4" t="n">
        <x:v>1</x:v>
      </x:c>
      <x:c r="B4" s="26" t="str">
        <x:v>KFC Rewards / KFC loyalty ecosystem</x:v>
      </x:c>
      <x:c r="C4" s="26" t="str">
        <x:v>Yum! Brands / Yum China</x:v>
      </x:c>
      <x:c r="D4" s="26" t="str">
        <x:v>Restaurants &amp; QSR</x:v>
      </x:c>
      <x:c r="E4" s="26" t="str">
        <x:v>Global / China-heavy</x:v>
      </x:c>
      <x:c r="F4" s="28" t="n">
        <x:v>550</x:v>
      </x:c>
      <x:c r="G4" s="26" t="n">
        <x:v>2025</x:v>
      </x:c>
      <x:c r="H4" s="26" t="str">
        <x:v>Loyalty members / users</x:v>
      </x:c>
      <x:c r="I4" s="26" t="str">
        <x:v>Feb-2026</x:v>
      </x:c>
      <x:c r="J4" s="26" t="str">
        <x:v>Current (≤4 years)</x:v>
      </x:c>
      <x:c r="K4" s="26" t="str">
        <x:v>B</x:v>
      </x:c>
      <x:c r="L4" s="26" t="str">
        <x:v>2026 industry report with cited underlying source</x:v>
      </x:c>
      <x:c r="M4" s="26" t="str">
        <x:v>Yum China 2025 Results, p.27</x:v>
      </x:c>
      <x:c r="N4" s="26" t="str">
        <x:v>The World's Largest Loyalty Programs (2026)</x:v>
      </x:c>
      <x:c r="O4" s="26" t="str">
        <x:v>https://retailtechinnovationhub.squarespace.com/s/Capillary-Edition-WLLP-Approved.pdf</x:v>
      </x:c>
      <x:c r="P4" s="26" t="str">
        <x:v>Report's top-ranked KFC loyalty base; geography/definition should be checked before direct comparison.</x:v>
      </x:c>
    </x:row>
    <x:row r="5">
      <x:c r="A5" t="n">
        <x:v>2</x:v>
      </x:c>
      <x:c r="B5" s="26" t="str">
        <x:v>adiClub</x:v>
      </x:c>
      <x:c r="C5" s="26" t="str">
        <x:v>adidas AG</x:v>
      </x:c>
      <x:c r="D5" s="26" t="str">
        <x:v>Retail &amp; consumer brands</x:v>
      </x:c>
      <x:c r="E5" s="26" t="str">
        <x:v>Global</x:v>
      </x:c>
      <x:c r="F5" s="28" t="n">
        <x:v>330</x:v>
      </x:c>
      <x:c r="G5" s="26" t="n">
        <x:v>2025</x:v>
      </x:c>
      <x:c r="H5" s="26" t="str">
        <x:v>Members</x:v>
      </x:c>
      <x:c r="I5" s="26" t="str">
        <x:v>Sep-2025</x:v>
      </x:c>
      <x:c r="J5" s="26" t="str">
        <x:v>Current (≤4 years)</x:v>
      </x:c>
      <x:c r="K5" s="26" t="str">
        <x:v>C</x:v>
      </x:c>
      <x:c r="L5" s="26" t="str">
        <x:v>2026 industry report with cited underlying source</x:v>
      </x:c>
      <x:c r="M5" s="26" t="str">
        <x:v>Loyalty Award Magazine, p.11</x:v>
      </x:c>
      <x:c r="N5" s="26" t="str">
        <x:v>The World's Largest Loyalty Programs (2026)</x:v>
      </x:c>
      <x:c r="O5" s="26" t="str">
        <x:v>https://retailtechinnovationhub.squarespace.com/s/Capillary-Edition-WLLP-Approved.pdf</x:v>
      </x:c>
      <x:c r="P5" s="26" t="str"/>
    </x:row>
    <x:row r="6">
      <x:c r="A6" t="n">
        <x:v>3</x:v>
      </x:c>
      <x:c r="B6" s="26" t="str">
        <x:v>Nike Membership</x:v>
      </x:c>
      <x:c r="C6" s="26" t="str">
        <x:v>NIKE, Inc.</x:v>
      </x:c>
      <x:c r="D6" s="26" t="str">
        <x:v>Retail &amp; consumer brands</x:v>
      </x:c>
      <x:c r="E6" s="26" t="str">
        <x:v>Global</x:v>
      </x:c>
      <x:c r="F6" s="28" t="n">
        <x:v>300</x:v>
      </x:c>
      <x:c r="G6" s="26" t="n">
        <x:v>2021</x:v>
      </x:c>
      <x:c r="H6" s="26" t="str">
        <x:v>Members</x:v>
      </x:c>
      <x:c r="I6" s="26" t="str">
        <x:v>Jun-2021</x:v>
      </x:c>
      <x:c r="J6" s="26" t="str">
        <x:v>Older than 4 years</x:v>
      </x:c>
      <x:c r="K6" s="26" t="str">
        <x:v>C</x:v>
      </x:c>
      <x:c r="L6" s="26" t="str">
        <x:v>2026 industry report with cited underlying source</x:v>
      </x:c>
      <x:c r="M6" s="26" t="str">
        <x:v>Nike earnings-call transcript, p.7</x:v>
      </x:c>
      <x:c r="N6" s="26" t="str">
        <x:v>The World's Largest Loyalty Programs (2026)</x:v>
      </x:c>
      <x:c r="O6" s="26" t="str">
        <x:v>https://retailtechinnovationhub.squarespace.com/s/Capillary-Edition-WLLP-Approved.pdf</x:v>
      </x:c>
      <x:c r="P6" s="26" t="str">
        <x:v>Important but disclosure is older than four years.</x:v>
      </x:c>
    </x:row>
    <x:row r="7">
      <x:c r="A7" t="n">
        <x:v>4</x:v>
      </x:c>
      <x:c r="B7" s="26" t="str">
        <x:v>Marriott Bonvoy</x:v>
      </x:c>
      <x:c r="C7" s="26" t="str">
        <x:v>Marriott International</x:v>
      </x:c>
      <x:c r="D7" s="26" t="str">
        <x:v>Hotels</x:v>
      </x:c>
      <x:c r="E7" s="26" t="str">
        <x:v>Global</x:v>
      </x:c>
      <x:c r="F7" s="28" t="n">
        <x:v>271</x:v>
      </x:c>
      <x:c r="G7" s="26" t="n">
        <x:v>2025</x:v>
      </x:c>
      <x:c r="H7" s="26" t="str">
        <x:v>Members</x:v>
      </x:c>
      <x:c r="I7" s="26" t="str">
        <x:v>Feb-2026</x:v>
      </x:c>
      <x:c r="J7" s="26" t="str">
        <x:v>Current (≤4 years)</x:v>
      </x:c>
      <x:c r="K7" s="26" t="str">
        <x:v>B</x:v>
      </x:c>
      <x:c r="L7" s="26" t="str">
        <x:v>2026 industry report with cited underlying source</x:v>
      </x:c>
      <x:c r="M7" s="26" t="str">
        <x:v>Marriott Q4 and FY2025 highlights</x:v>
      </x:c>
      <x:c r="N7" s="26" t="str">
        <x:v>The World's Largest Loyalty Programs (2026)</x:v>
      </x:c>
      <x:c r="O7" s="26" t="str">
        <x:v>https://retailtechinnovationhub.squarespace.com/s/Capillary-Edition-WLLP-Approved.pdf</x:v>
      </x:c>
      <x:c r="P7" s="26" t="str"/>
    </x:row>
    <x:row r="8">
      <x:c r="A8" t="n">
        <x:v>5</x:v>
      </x:c>
      <x:c r="B8" s="26" t="str">
        <x:v>H Rewards</x:v>
      </x:c>
      <x:c r="C8" s="26" t="str">
        <x:v>H World Group</x:v>
      </x:c>
      <x:c r="D8" s="26" t="str">
        <x:v>Hotels</x:v>
      </x:c>
      <x:c r="E8" s="26" t="str">
        <x:v>Global / China</x:v>
      </x:c>
      <x:c r="F8" s="28" t="n">
        <x:v>266</x:v>
      </x:c>
      <x:c r="G8" s="26" t="n">
        <x:v>2024</x:v>
      </x:c>
      <x:c r="H8" s="26" t="str">
        <x:v>Members</x:v>
      </x:c>
      <x:c r="I8" s="26" t="str">
        <x:v>Dec-2024</x:v>
      </x:c>
      <x:c r="J8" s="26" t="str">
        <x:v>Current (≤4 years)</x:v>
      </x:c>
      <x:c r="K8" s="26" t="str">
        <x:v>B</x:v>
      </x:c>
      <x:c r="L8" s="26" t="str">
        <x:v>2026 industry report with cited underlying source</x:v>
      </x:c>
      <x:c r="M8" s="26" t="str">
        <x:v>H World Group 2024 Annual Report, p.59</x:v>
      </x:c>
      <x:c r="N8" s="26" t="str">
        <x:v>The World's Largest Loyalty Programs (2026)</x:v>
      </x:c>
      <x:c r="O8" s="26" t="str">
        <x:v>https://retailtechinnovationhub.squarespace.com/s/Capillary-Edition-WLLP-Approved.pdf</x:v>
      </x:c>
      <x:c r="P8" s="26" t="str"/>
    </x:row>
    <x:row r="9">
      <x:c r="A9" t="n">
        <x:v>6</x:v>
      </x:c>
      <x:c r="B9" s="26" t="str">
        <x:v>Hilton Honors</x:v>
      </x:c>
      <x:c r="C9" s="26" t="str">
        <x:v>Hilton Worldwide Holdings</x:v>
      </x:c>
      <x:c r="D9" s="26" t="str">
        <x:v>Hotels</x:v>
      </x:c>
      <x:c r="E9" s="26" t="str">
        <x:v>Global</x:v>
      </x:c>
      <x:c r="F9" s="28" t="n">
        <x:v>243</x:v>
      </x:c>
      <x:c r="G9" s="26" t="n">
        <x:v>2025</x:v>
      </x:c>
      <x:c r="H9" s="26" t="str">
        <x:v>Members</x:v>
      </x:c>
      <x:c r="I9" s="26" t="str">
        <x:v>Feb-2026</x:v>
      </x:c>
      <x:c r="J9" s="26" t="str">
        <x:v>Current (≤4 years)</x:v>
      </x:c>
      <x:c r="K9" s="26" t="str">
        <x:v>B</x:v>
      </x:c>
      <x:c r="L9" s="26" t="str">
        <x:v>2026 industry report with cited underlying source</x:v>
      </x:c>
      <x:c r="M9" s="26" t="str">
        <x:v>Hilton 2025 results</x:v>
      </x:c>
      <x:c r="N9" s="26" t="str">
        <x:v>The World's Largest Loyalty Programs (2026)</x:v>
      </x:c>
      <x:c r="O9" s="26" t="str">
        <x:v>https://retailtechinnovationhub.squarespace.com/s/Capillary-Edition-WLLP-Approved.pdf</x:v>
      </x:c>
      <x:c r="P9" s="26" t="str"/>
    </x:row>
    <x:row r="10">
      <x:c r="A10" t="n">
        <x:v>7</x:v>
      </x:c>
      <x:c r="B10" s="26" t="str">
        <x:v>MyMcDonald's Rewards / McDonald's loyalty</x:v>
      </x:c>
      <x:c r="C10" s="26" t="str">
        <x:v>McDonald's Corporation</x:v>
      </x:c>
      <x:c r="D10" s="26" t="str">
        <x:v>Restaurants &amp; QSR</x:v>
      </x:c>
      <x:c r="E10" s="26" t="str">
        <x:v>Global</x:v>
      </x:c>
      <x:c r="F10" s="28" t="n">
        <x:v>210</x:v>
      </x:c>
      <x:c r="G10" s="26" t="n">
        <x:v>2025</x:v>
      </x:c>
      <x:c r="H10" s="26" t="str">
        <x:v>90-day active loyalty users (nearly)</x:v>
      </x:c>
      <x:c r="I10" s="26" t="str">
        <x:v>Dec-2025</x:v>
      </x:c>
      <x:c r="J10" s="26" t="str">
        <x:v>Current (≤4 years)</x:v>
      </x:c>
      <x:c r="K10" s="26" t="str">
        <x:v>B</x:v>
      </x:c>
      <x:c r="L10" s="26" t="str">
        <x:v>2026 industry report with cited underlying source</x:v>
      </x:c>
      <x:c r="M10" s="26" t="str">
        <x:v>McDonald's 2025 results press release</x:v>
      </x:c>
      <x:c r="N10" s="26" t="str">
        <x:v>The World's Largest Loyalty Programs (2026)</x:v>
      </x:c>
      <x:c r="O10" s="26" t="str">
        <x:v>https://retailtechinnovationhub.squarespace.com/s/Capillary-Edition-WLLP-Approved.pdf</x:v>
      </x:c>
      <x:c r="P10" s="26" t="str"/>
    </x:row>
    <x:row r="11">
      <x:c r="A11" t="n">
        <x:v>8</x:v>
      </x:c>
      <x:c r="B11" s="26" t="str">
        <x:v>Pizza Hut China loyalty</x:v>
      </x:c>
      <x:c r="C11" s="26" t="str">
        <x:v>Yum China Holdings</x:v>
      </x:c>
      <x:c r="D11" s="26" t="str">
        <x:v>Restaurants &amp; QSR</x:v>
      </x:c>
      <x:c r="E11" s="26" t="str">
        <x:v>China</x:v>
      </x:c>
      <x:c r="F11" s="28" t="n">
        <x:v>210</x:v>
      </x:c>
      <x:c r="G11" s="26" t="n">
        <x:v>2025</x:v>
      </x:c>
      <x:c r="H11" s="26" t="str">
        <x:v>Loyalty members / users</x:v>
      </x:c>
      <x:c r="I11" s="26" t="str">
        <x:v>Feb-2026</x:v>
      </x:c>
      <x:c r="J11" s="26" t="str">
        <x:v>Current (≤4 years)</x:v>
      </x:c>
      <x:c r="K11" s="26" t="str">
        <x:v>B</x:v>
      </x:c>
      <x:c r="L11" s="26" t="str">
        <x:v>2026 industry report with cited underlying source</x:v>
      </x:c>
      <x:c r="M11" s="26" t="str">
        <x:v>Yum China 2025 Results, p.27</x:v>
      </x:c>
      <x:c r="N11" s="26" t="str">
        <x:v>The World's Largest Loyalty Programs (2026)</x:v>
      </x:c>
      <x:c r="O11" s="26" t="str">
        <x:v>https://retailtechinnovationhub.squarespace.com/s/Capillary-Edition-WLLP-Approved.pdf</x:v>
      </x:c>
      <x:c r="P11" s="26" t="str"/>
    </x:row>
    <x:row r="12">
      <x:c r="A12" t="n">
        <x:v>9</x:v>
      </x:c>
      <x:c r="B12" s="26" t="str">
        <x:v>Amazon Prime</x:v>
      </x:c>
      <x:c r="C12" s="26" t="str">
        <x:v>Amazon.com, Inc.</x:v>
      </x:c>
      <x:c r="D12" s="26" t="str">
        <x:v>Paid membership &amp; e-commerce</x:v>
      </x:c>
      <x:c r="E12" s="26" t="str">
        <x:v>Global</x:v>
      </x:c>
      <x:c r="F12" s="28" t="n">
        <x:v>200</x:v>
      </x:c>
      <x:c r="G12" s="26" t="n">
        <x:v>2021</x:v>
      </x:c>
      <x:c r="H12" s="26" t="str">
        <x:v>Paid members (over)</x:v>
      </x:c>
      <x:c r="I12" s="26" t="str">
        <x:v>Apr-2021</x:v>
      </x:c>
      <x:c r="J12" s="26" t="str">
        <x:v>Older than 4 years</x:v>
      </x:c>
      <x:c r="K12" s="26" t="str">
        <x:v>C</x:v>
      </x:c>
      <x:c r="L12" s="26" t="str">
        <x:v>2026 industry report with cited underlying source</x:v>
      </x:c>
      <x:c r="M12" s="26" t="str">
        <x:v>Amazon disclosure reported by The Motley Fool</x:v>
      </x:c>
      <x:c r="N12" s="26" t="str">
        <x:v>The World's Largest Loyalty Programs (2026)</x:v>
      </x:c>
      <x:c r="O12" s="26" t="str">
        <x:v>https://retailtechinnovationhub.squarespace.com/s/Capillary-Edition-WLLP-Approved.pdf</x:v>
      </x:c>
      <x:c r="P12" s="26" t="str">
        <x:v>Latest widely cited official disclosure is older than four years.</x:v>
      </x:c>
    </x:row>
    <x:row r="13">
      <x:c r="A13" t="n">
        <x:v>10</x:v>
      </x:c>
      <x:c r="B13" s="26" t="str">
        <x:v>H&amp;M Membership</x:v>
      </x:c>
      <x:c r="C13" s="26" t="str">
        <x:v>H &amp; M Hennes &amp; Mauritz AB</x:v>
      </x:c>
      <x:c r="D13" s="26" t="str">
        <x:v>Retail &amp; consumer brands</x:v>
      </x:c>
      <x:c r="E13" s="26" t="str">
        <x:v>Global</x:v>
      </x:c>
      <x:c r="F13" s="28" t="n">
        <x:v>200</x:v>
      </x:c>
      <x:c r="G13" s="26" t="n">
        <x:v>2024</x:v>
      </x:c>
      <x:c r="H13" s="26" t="str">
        <x:v>Members</x:v>
      </x:c>
      <x:c r="I13" s="26" t="str">
        <x:v>May-2024</x:v>
      </x:c>
      <x:c r="J13" s="26" t="str">
        <x:v>Current (≤4 years)</x:v>
      </x:c>
      <x:c r="K13" s="26" t="str">
        <x:v>B</x:v>
      </x:c>
      <x:c r="L13" s="26" t="str">
        <x:v>2026 industry report with cited underlying source</x:v>
      </x:c>
      <x:c r="M13" s="26" t="str">
        <x:v>H&amp;M financial report, p.4</x:v>
      </x:c>
      <x:c r="N13" s="26" t="str">
        <x:v>The World's Largest Loyalty Programs (2026)</x:v>
      </x:c>
      <x:c r="O13" s="26" t="str">
        <x:v>https://retailtechinnovationhub.squarespace.com/s/Capillary-Edition-WLLP-Approved.pdf</x:v>
      </x:c>
      <x:c r="P13" s="26" t="str"/>
    </x:row>
    <x:row r="14">
      <x:c r="A14" t="n">
        <x:v>11</x:v>
      </x:c>
      <x:c r="B14" s="26" t="str">
        <x:v>IKEA Family</x:v>
      </x:c>
      <x:c r="C14" s="26" t="str">
        <x:v>Inter IKEA / Ingka Group</x:v>
      </x:c>
      <x:c r="D14" s="26" t="str">
        <x:v>Retail &amp; consumer brands</x:v>
      </x:c>
      <x:c r="E14" s="26" t="str">
        <x:v>Global</x:v>
      </x:c>
      <x:c r="F14" s="28" t="n">
        <x:v>180</x:v>
      </x:c>
      <x:c r="G14" s="26" t="n">
        <x:v>2023</x:v>
      </x:c>
      <x:c r="H14" s="26" t="str">
        <x:v>Members</x:v>
      </x:c>
      <x:c r="I14" s="26" t="str">
        <x:v>Dec-2023</x:v>
      </x:c>
      <x:c r="J14" s="26" t="str">
        <x:v>Current (≤4 years)</x:v>
      </x:c>
      <x:c r="K14" s="26" t="str">
        <x:v>C</x:v>
      </x:c>
      <x:c r="L14" s="26" t="str">
        <x:v>2026 industry report with cited underlying source</x:v>
      </x:c>
      <x:c r="M14" s="26" t="str">
        <x:v>Capgemini case study</x:v>
      </x:c>
      <x:c r="N14" s="26" t="str">
        <x:v>The World's Largest Loyalty Programs (2026)</x:v>
      </x:c>
      <x:c r="O14" s="26" t="str">
        <x:v>https://retailtechinnovationhub.squarespace.com/s/Capillary-Edition-WLLP-Approved.pdf</x:v>
      </x:c>
      <x:c r="P14" s="26" t="str"/>
    </x:row>
    <x:row r="15">
      <x:c r="A15" t="n">
        <x:v>12</x:v>
      </x:c>
      <x:c r="B15" s="26" t="str">
        <x:v>Booking.com Genius</x:v>
      </x:c>
      <x:c r="C15" s="26" t="str">
        <x:v>Booking Holdings</x:v>
      </x:c>
      <x:c r="D15" s="26" t="str">
        <x:v>Online travel</x:v>
      </x:c>
      <x:c r="E15" s="26" t="str">
        <x:v>Global</x:v>
      </x:c>
      <x:c r="F15" s="28" t="n">
        <x:v>170</x:v>
      </x:c>
      <x:c r="G15" s="26" t="n">
        <x:v>2023</x:v>
      </x:c>
      <x:c r="H15" s="26" t="str">
        <x:v>Members / enrolled customers</x:v>
      </x:c>
      <x:c r="I15" s="26" t="str">
        <x:v>Nov-2023</x:v>
      </x:c>
      <x:c r="J15" s="26" t="str">
        <x:v>Current (≤4 years)</x:v>
      </x:c>
      <x:c r="K15" s="26" t="str">
        <x:v>C</x:v>
      </x:c>
      <x:c r="L15" s="26" t="str">
        <x:v>2026 industry report with cited underlying source</x:v>
      </x:c>
      <x:c r="M15" s="26" t="str">
        <x:v>Hospitality Net</x:v>
      </x:c>
      <x:c r="N15" s="26" t="str">
        <x:v>The World's Largest Loyalty Programs (2026)</x:v>
      </x:c>
      <x:c r="O15" s="26" t="str">
        <x:v>https://retailtechinnovationhub.squarespace.com/s/Capillary-Edition-WLLP-Approved.pdf</x:v>
      </x:c>
      <x:c r="P15" s="26" t="str"/>
    </x:row>
    <x:row r="16">
      <x:c r="A16" t="n">
        <x:v>13</x:v>
      </x:c>
      <x:c r="B16" s="26" t="str">
        <x:v>Expedia One Key</x:v>
      </x:c>
      <x:c r="C16" s="26" t="str">
        <x:v>Expedia Group</x:v>
      </x:c>
      <x:c r="D16" s="26" t="str">
        <x:v>Online travel</x:v>
      </x:c>
      <x:c r="E16" s="26" t="str">
        <x:v>Global</x:v>
      </x:c>
      <x:c r="F16" s="28" t="n">
        <x:v>170</x:v>
      </x:c>
      <x:c r="G16" s="26" t="n">
        <x:v>2023</x:v>
      </x:c>
      <x:c r="H16" s="26" t="str">
        <x:v>Members / enrolled customers</x:v>
      </x:c>
      <x:c r="I16" s="26" t="str">
        <x:v>Jul-2023</x:v>
      </x:c>
      <x:c r="J16" s="26" t="str">
        <x:v>Current (≤4 years)</x:v>
      </x:c>
      <x:c r="K16" s="26" t="str">
        <x:v>C</x:v>
      </x:c>
      <x:c r="L16" s="26" t="str">
        <x:v>2026 industry report with cited underlying source</x:v>
      </x:c>
      <x:c r="M16" s="26" t="str">
        <x:v>Hospitality Net</x:v>
      </x:c>
      <x:c r="N16" s="26" t="str">
        <x:v>The World's Largest Loyalty Programs (2026)</x:v>
      </x:c>
      <x:c r="O16" s="26" t="str">
        <x:v>https://retailtechinnovationhub.squarespace.com/s/Capillary-Edition-WLLP-Approved.pdf</x:v>
      </x:c>
      <x:c r="P16" s="26" t="str"/>
    </x:row>
    <x:row r="17">
      <x:c r="A17" t="n">
        <x:v>14</x:v>
      </x:c>
      <x:c r="B17" s="26" t="str">
        <x:v>IHG One Rewards</x:v>
      </x:c>
      <x:c r="C17" s="26" t="str">
        <x:v>InterContinental Hotels Group</x:v>
      </x:c>
      <x:c r="D17" s="26" t="str">
        <x:v>Hotels</x:v>
      </x:c>
      <x:c r="E17" s="26" t="str">
        <x:v>Global</x:v>
      </x:c>
      <x:c r="F17" s="28" t="n">
        <x:v>160</x:v>
      </x:c>
      <x:c r="G17" s="26" t="n">
        <x:v>2025</x:v>
      </x:c>
      <x:c r="H17" s="26" t="str">
        <x:v>Members (over)</x:v>
      </x:c>
      <x:c r="I17" s="26" t="str">
        <x:v>Feb-2026</x:v>
      </x:c>
      <x:c r="J17" s="26" t="str">
        <x:v>Current (≤4 years)</x:v>
      </x:c>
      <x:c r="K17" s="26" t="str">
        <x:v>B</x:v>
      </x:c>
      <x:c r="L17" s="26" t="str">
        <x:v>2026 industry report with cited underlying source</x:v>
      </x:c>
      <x:c r="M17" s="26" t="str">
        <x:v>IHG Annual Report 2025, p.10</x:v>
      </x:c>
      <x:c r="N17" s="26" t="str">
        <x:v>The World's Largest Loyalty Programs (2026)</x:v>
      </x:c>
      <x:c r="O17" s="26" t="str">
        <x:v>https://retailtechinnovationhub.squarespace.com/s/Capillary-Edition-WLLP-Approved.pdf</x:v>
      </x:c>
      <x:c r="P17" s="26" t="str"/>
    </x:row>
    <x:row r="18">
      <x:c r="A18" t="n">
        <x:v>15</x:v>
      </x:c>
      <x:c r="B18" s="26" t="str">
        <x:v>NeuPass</x:v>
      </x:c>
      <x:c r="C18" s="26" t="str">
        <x:v>Tata Digital / Tata Group</x:v>
      </x:c>
      <x:c r="D18" s="26" t="str">
        <x:v>Coalition &amp; super-app</x:v>
      </x:c>
      <x:c r="E18" s="26" t="str">
        <x:v>India</x:v>
      </x:c>
      <x:c r="F18" s="28" t="n">
        <x:v>140</x:v>
      </x:c>
      <x:c r="G18" s="26" t="n">
        <x:v>2025</x:v>
      </x:c>
      <x:c r="H18" s="26" t="str">
        <x:v>Members</x:v>
      </x:c>
      <x:c r="I18" s="26" t="str">
        <x:v>May-2025</x:v>
      </x:c>
      <x:c r="J18" s="26" t="str">
        <x:v>Current (≤4 years)</x:v>
      </x:c>
      <x:c r="K18" s="26" t="str">
        <x:v>B</x:v>
      </x:c>
      <x:c r="L18" s="26" t="str">
        <x:v>2026 industry report with cited underlying source</x:v>
      </x:c>
      <x:c r="M18" s="26" t="str">
        <x:v>Tata 2024–25 Annual Report, p.12</x:v>
      </x:c>
      <x:c r="N18" s="26" t="str">
        <x:v>The World's Largest Loyalty Programs (2026)</x:v>
      </x:c>
      <x:c r="O18" s="26" t="str">
        <x:v>https://retailtechinnovationhub.squarespace.com/s/Capillary-Edition-WLLP-Approved.pdf</x:v>
      </x:c>
      <x:c r="P18" s="26" t="str"/>
    </x:row>
    <x:row r="19">
      <x:c r="A19" t="n">
        <x:v>16</x:v>
      </x:c>
      <x:c r="B19" s="26" t="str">
        <x:v>Costco Membership</x:v>
      </x:c>
      <x:c r="C19" s="26" t="str">
        <x:v>Costco Wholesale Corporation</x:v>
      </x:c>
      <x:c r="D19" s="26" t="str">
        <x:v>Paid membership &amp; e-commerce</x:v>
      </x:c>
      <x:c r="E19" s="26" t="str">
        <x:v>Global</x:v>
      </x:c>
      <x:c r="F19" s="28" t="n">
        <x:v>137</x:v>
      </x:c>
      <x:c r="G19" s="26" t="n">
        <x:v>2024</x:v>
      </x:c>
      <x:c r="H19" s="26" t="str">
        <x:v>Cardholders / members</x:v>
      </x:c>
      <x:c r="I19" s="26" t="str">
        <x:v>Jan-2025</x:v>
      </x:c>
      <x:c r="J19" s="26" t="str">
        <x:v>Current (≤4 years)</x:v>
      </x:c>
      <x:c r="K19" s="26" t="str">
        <x:v>B</x:v>
      </x:c>
      <x:c r="L19" s="26" t="str">
        <x:v>2026 industry report with cited underlying source</x:v>
      </x:c>
      <x:c r="M19" s="26" t="str">
        <x:v>Costco 2024 Annual Report, p.3</x:v>
      </x:c>
      <x:c r="N19" s="26" t="str">
        <x:v>The World's Largest Loyalty Programs (2026)</x:v>
      </x:c>
      <x:c r="O19" s="26" t="str">
        <x:v>https://retailtechinnovationhub.squarespace.com/s/Capillary-Edition-WLLP-Approved.pdf</x:v>
      </x:c>
      <x:c r="P19" s="26" t="str"/>
    </x:row>
    <x:row r="20">
      <x:c r="A20" t="n">
        <x:v>17</x:v>
      </x:c>
      <x:c r="B20" s="26" t="str">
        <x:v>Shop for Free</x:v>
      </x:c>
      <x:c r="C20" s="26" t="str">
        <x:v>Vishal Mega Mart</x:v>
      </x:c>
      <x:c r="D20" s="26" t="str">
        <x:v>Retail &amp; grocery</x:v>
      </x:c>
      <x:c r="E20" s="26" t="str">
        <x:v>India</x:v>
      </x:c>
      <x:c r="F20" s="28" t="n">
        <x:v>134</x:v>
      </x:c>
      <x:c r="G20" s="26" t="n">
        <x:v>2025</x:v>
      </x:c>
      <x:c r="H20" s="26" t="str">
        <x:v>Loyalty members</x:v>
      </x:c>
      <x:c r="I20" s="26" t="str">
        <x:v>Jan-2025</x:v>
      </x:c>
      <x:c r="J20" s="26" t="str">
        <x:v>Current (≤4 years)</x:v>
      </x:c>
      <x:c r="K20" s="26" t="str">
        <x:v>C</x:v>
      </x:c>
      <x:c r="L20" s="26" t="str">
        <x:v>2026 industry report with cited underlying source</x:v>
      </x:c>
      <x:c r="M20" s="26" t="str">
        <x:v>J.P. Morgan report cited by NDTV Profit</x:v>
      </x:c>
      <x:c r="N20" s="26" t="str">
        <x:v>The World's Largest Loyalty Programs (2026)</x:v>
      </x:c>
      <x:c r="O20" s="26" t="str">
        <x:v>https://retailtechinnovationhub.squarespace.com/s/Capillary-Edition-WLLP-Approved.pdf</x:v>
      </x:c>
      <x:c r="P20" s="26" t="str"/>
    </x:row>
    <x:row r="21">
      <x:c r="A21" t="n">
        <x:v>18</x:v>
      </x:c>
      <x:c r="B21" s="26" t="str">
        <x:v>Zillion</x:v>
      </x:c>
      <x:c r="C21" s="26" t="str">
        <x:v>BharatPe / Zillion</x:v>
      </x:c>
      <x:c r="D21" s="26" t="str">
        <x:v>Coalition &amp; points</x:v>
      </x:c>
      <x:c r="E21" s="26" t="str">
        <x:v>India</x:v>
      </x:c>
      <x:c r="F21" s="28" t="n">
        <x:v>130</x:v>
      </x:c>
      <x:c r="G21" s="26" t="n">
        <x:v>2023</x:v>
      </x:c>
      <x:c r="H21" s="26" t="str">
        <x:v>Members</x:v>
      </x:c>
      <x:c r="I21" s="26" t="str">
        <x:v>May-2023</x:v>
      </x:c>
      <x:c r="J21" s="26" t="str">
        <x:v>Current (≤4 years)</x:v>
      </x:c>
      <x:c r="K21" s="26" t="str">
        <x:v>C</x:v>
      </x:c>
      <x:c r="L21" s="26" t="str">
        <x:v>2026 industry report with cited underlying source</x:v>
      </x:c>
      <x:c r="M21" s="26" t="str">
        <x:v>Business Standard</x:v>
      </x:c>
      <x:c r="N21" s="26" t="str">
        <x:v>The World's Largest Loyalty Programs (2026)</x:v>
      </x:c>
      <x:c r="O21" s="26" t="str">
        <x:v>https://retailtechinnovationhub.squarespace.com/s/Capillary-Edition-WLLP-Approved.pdf</x:v>
      </x:c>
      <x:c r="P21" s="26" t="str"/>
    </x:row>
    <x:row r="22">
      <x:c r="A22" t="n">
        <x:v>19</x:v>
      </x:c>
      <x:c r="B22" s="26" t="str">
        <x:v>BTG Homeinns Club</x:v>
      </x:c>
      <x:c r="C22" s="26" t="str">
        <x:v>BTG Hotels Group / Homeinns</x:v>
      </x:c>
      <x:c r="D22" s="26" t="str">
        <x:v>Hotels</x:v>
      </x:c>
      <x:c r="E22" s="26" t="str">
        <x:v>China</x:v>
      </x:c>
      <x:c r="F22" s="28" t="n">
        <x:v>130</x:v>
      </x:c>
      <x:c r="G22" s="26" t="n">
        <x:v>2021</x:v>
      </x:c>
      <x:c r="H22" s="26" t="str">
        <x:v>Members</x:v>
      </x:c>
      <x:c r="I22" s="26" t="str">
        <x:v>Sep-2021</x:v>
      </x:c>
      <x:c r="J22" s="26" t="str">
        <x:v>Older than 4 years</x:v>
      </x:c>
      <x:c r="K22" s="26" t="str">
        <x:v>C</x:v>
      </x:c>
      <x:c r="L22" s="26" t="str">
        <x:v>2026 industry report with cited underlying source</x:v>
      </x:c>
      <x:c r="M22" s="26" t="str">
        <x:v>Yicai</x:v>
      </x:c>
      <x:c r="N22" s="26" t="str">
        <x:v>The World's Largest Loyalty Programs (2026)</x:v>
      </x:c>
      <x:c r="O22" s="26" t="str">
        <x:v>https://retailtechinnovationhub.squarespace.com/s/Capillary-Edition-WLLP-Approved.pdf</x:v>
      </x:c>
      <x:c r="P22" s="26" t="str">
        <x:v>Disclosure is older than four years.</x:v>
      </x:c>
    </x:row>
    <x:row r="23">
      <x:c r="A23" t="n">
        <x:v>20</x:v>
      </x:c>
      <x:c r="B23" s="26" t="str">
        <x:v>SkyMiles</x:v>
      </x:c>
      <x:c r="C23" s="26" t="str">
        <x:v>Delta Air Lines</x:v>
      </x:c>
      <x:c r="D23" s="26" t="str">
        <x:v>Airlines</x:v>
      </x:c>
      <x:c r="E23" s="26" t="str">
        <x:v>Global</x:v>
      </x:c>
      <x:c r="F23" s="28" t="n">
        <x:v>130</x:v>
      </x:c>
      <x:c r="G23" s="26" t="n">
        <x:v>2023</x:v>
      </x:c>
      <x:c r="H23" s="26" t="str">
        <x:v>Members</x:v>
      </x:c>
      <x:c r="I23" s="26" t="str">
        <x:v>Apr-2024</x:v>
      </x:c>
      <x:c r="J23" s="26" t="str">
        <x:v>Current (≤4 years)</x:v>
      </x:c>
      <x:c r="K23" s="26" t="str">
        <x:v>C</x:v>
      </x:c>
      <x:c r="L23" s="26" t="str">
        <x:v>2026 industry report with cited underlying source</x:v>
      </x:c>
      <x:c r="M23" s="26" t="str">
        <x:v>View from the Wing citing Delta</x:v>
      </x:c>
      <x:c r="N23" s="26" t="str">
        <x:v>The World's Largest Loyalty Programs (2026)</x:v>
      </x:c>
      <x:c r="O23" s="26" t="str">
        <x:v>https://retailtechinnovationhub.squarespace.com/s/Capillary-Edition-WLLP-Approved.pdf</x:v>
      </x:c>
      <x:c r="P23" s="26" t="str"/>
    </x:row>
    <x:row r="24">
      <x:c r="A24" t="n">
        <x:v>21</x:v>
      </x:c>
      <x:c r="B24" s="26" t="str">
        <x:v>Wyndham Rewards</x:v>
      </x:c>
      <x:c r="C24" s="26" t="str">
        <x:v>Wyndham Hotels &amp; Resorts</x:v>
      </x:c>
      <x:c r="D24" s="26" t="str">
        <x:v>Hotels</x:v>
      </x:c>
      <x:c r="E24" s="26" t="str">
        <x:v>Global</x:v>
      </x:c>
      <x:c r="F24" s="28" t="n">
        <x:v>120</x:v>
      </x:c>
      <x:c r="G24" s="26" t="n">
        <x:v>2025</x:v>
      </x:c>
      <x:c r="H24" s="26" t="str">
        <x:v>Members</x:v>
      </x:c>
      <x:c r="I24" s="26" t="str">
        <x:v>Aug-2025</x:v>
      </x:c>
      <x:c r="J24" s="26" t="str">
        <x:v>Current (≤4 years)</x:v>
      </x:c>
      <x:c r="K24" s="26" t="str">
        <x:v>B</x:v>
      </x:c>
      <x:c r="L24" s="26" t="str">
        <x:v>2026 industry report with cited underlying source</x:v>
      </x:c>
      <x:c r="M24" s="26" t="str">
        <x:v>Wyndham press release</x:v>
      </x:c>
      <x:c r="N24" s="26" t="str">
        <x:v>The World's Largest Loyalty Programs (2026)</x:v>
      </x:c>
      <x:c r="O24" s="26" t="str">
        <x:v>https://retailtechinnovationhub.squarespace.com/s/Capillary-Edition-WLLP-Approved.pdf</x:v>
      </x:c>
      <x:c r="P24" s="26" t="str"/>
    </x:row>
    <x:row r="25">
      <x:c r="A25" t="n">
        <x:v>22</x:v>
      </x:c>
      <x:c r="B25" s="26" t="str">
        <x:v>AAdvantage</x:v>
      </x:c>
      <x:c r="C25" s="26" t="str">
        <x:v>American Airlines Group</x:v>
      </x:c>
      <x:c r="D25" s="26" t="str">
        <x:v>Airlines</x:v>
      </x:c>
      <x:c r="E25" s="26" t="str">
        <x:v>Global</x:v>
      </x:c>
      <x:c r="F25" s="28" t="n">
        <x:v>115</x:v>
      </x:c>
      <x:c r="G25" s="26" t="n">
        <x:v>2020</x:v>
      </x:c>
      <x:c r="H25" s="26" t="str">
        <x:v>Members</x:v>
      </x:c>
      <x:c r="I25" s="26" t="str">
        <x:v>Apr-2021</x:v>
      </x:c>
      <x:c r="J25" s="26" t="str">
        <x:v>Older than 4 years</x:v>
      </x:c>
      <x:c r="K25" s="26" t="str">
        <x:v>B</x:v>
      </x:c>
      <x:c r="L25" s="26" t="str">
        <x:v>2026 industry report with cited underlying source</x:v>
      </x:c>
      <x:c r="M25" s="26" t="str">
        <x:v>American Airlines press release</x:v>
      </x:c>
      <x:c r="N25" s="26" t="str">
        <x:v>The World's Largest Loyalty Programs (2026)</x:v>
      </x:c>
      <x:c r="O25" s="26" t="str">
        <x:v>https://retailtechinnovationhub.squarespace.com/s/Capillary-Edition-WLLP-Approved.pdf</x:v>
      </x:c>
      <x:c r="P25" s="26" t="str">
        <x:v>Official disclosure is older than four years.</x:v>
      </x:c>
    </x:row>
    <x:row r="26">
      <x:c r="A26" t="n">
        <x:v>23</x:v>
      </x:c>
      <x:c r="B26" s="26" t="str">
        <x:v>myWalgreens</x:v>
      </x:c>
      <x:c r="C26" s="26" t="str">
        <x:v>Walgreens Boots Alliance</x:v>
      </x:c>
      <x:c r="D26" s="26" t="str">
        <x:v>Retail &amp; pharmacy</x:v>
      </x:c>
      <x:c r="E26" s="26" t="str">
        <x:v>United States</x:v>
      </x:c>
      <x:c r="F26" s="28" t="n">
        <x:v>110</x:v>
      </x:c>
      <x:c r="G26" s="26" t="n">
        <x:v>2023</x:v>
      </x:c>
      <x:c r="H26" s="26" t="str">
        <x:v>Members</x:v>
      </x:c>
      <x:c r="I26" s="26" t="str">
        <x:v>Jul-2023</x:v>
      </x:c>
      <x:c r="J26" s="26" t="str">
        <x:v>Current (≤4 years)</x:v>
      </x:c>
      <x:c r="K26" s="26" t="str">
        <x:v>B</x:v>
      </x:c>
      <x:c r="L26" s="26" t="str">
        <x:v>2026 industry report with cited underlying source</x:v>
      </x:c>
      <x:c r="M26" s="26" t="str">
        <x:v>Walgreens press release</x:v>
      </x:c>
      <x:c r="N26" s="26" t="str">
        <x:v>The World's Largest Loyalty Programs (2026)</x:v>
      </x:c>
      <x:c r="O26" s="26" t="str">
        <x:v>https://retailtechinnovationhub.squarespace.com/s/Capillary-Edition-WLLP-Approved.pdf</x:v>
      </x:c>
      <x:c r="P26" s="26" t="str"/>
    </x:row>
    <x:row r="27">
      <x:c r="A27" t="n">
        <x:v>24</x:v>
      </x:c>
      <x:c r="B27" s="26" t="str">
        <x:v>MileagePlus</x:v>
      </x:c>
      <x:c r="C27" s="26" t="str">
        <x:v>United Airlines Holdings</x:v>
      </x:c>
      <x:c r="D27" s="26" t="str">
        <x:v>Airlines</x:v>
      </x:c>
      <x:c r="E27" s="26" t="str">
        <x:v>Global</x:v>
      </x:c>
      <x:c r="F27" s="28" t="n">
        <x:v>110</x:v>
      </x:c>
      <x:c r="G27" s="26" t="n">
        <x:v>2023</x:v>
      </x:c>
      <x:c r="H27" s="26" t="str">
        <x:v>Members</x:v>
      </x:c>
      <x:c r="I27" s="26" t="str">
        <x:v>Mar-2025</x:v>
      </x:c>
      <x:c r="J27" s="26" t="str">
        <x:v>Current (≤4 years)</x:v>
      </x:c>
      <x:c r="K27" s="26" t="str">
        <x:v>C</x:v>
      </x:c>
      <x:c r="L27" s="26" t="str">
        <x:v>2026 industry report with cited underlying source</x:v>
      </x:c>
      <x:c r="M27" s="26" t="str">
        <x:v>The Drum citing United</x:v>
      </x:c>
      <x:c r="N27" s="26" t="str">
        <x:v>The World's Largest Loyalty Programs (2026)</x:v>
      </x:c>
      <x:c r="O27" s="26" t="str">
        <x:v>https://retailtechinnovationhub.squarespace.com/s/Capillary-Edition-WLLP-Approved.pdf</x:v>
      </x:c>
      <x:c r="P27" s="26" t="str"/>
    </x:row>
    <x:row r="28">
      <x:c r="A28" t="n">
        <x:v>25</x:v>
      </x:c>
      <x:c r="B28" s="26" t="str">
        <x:v>7Rewards &amp; Speedy Rewards</x:v>
      </x:c>
      <x:c r="C28" s="26" t="str">
        <x:v>7-Eleven / Seven &amp; i Holdings</x:v>
      </x:c>
      <x:c r="D28" s="26" t="str">
        <x:v>Fuel &amp; convenience</x:v>
      </x:c>
      <x:c r="E28" s="26" t="str">
        <x:v>North America</x:v>
      </x:c>
      <x:c r="F28" s="28" t="n">
        <x:v>104</x:v>
      </x:c>
      <x:c r="G28" s="26" t="n">
        <x:v>2024</x:v>
      </x:c>
      <x:c r="H28" s="26" t="str">
        <x:v>Members</x:v>
      </x:c>
      <x:c r="I28" s="26" t="str">
        <x:v>Apr-2025</x:v>
      </x:c>
      <x:c r="J28" s="26" t="str">
        <x:v>Current (≤4 years)</x:v>
      </x:c>
      <x:c r="K28" s="26" t="str">
        <x:v>B</x:v>
      </x:c>
      <x:c r="L28" s="26" t="str">
        <x:v>2026 industry report with cited underlying source</x:v>
      </x:c>
      <x:c r="M28" s="26" t="str">
        <x:v>7-Eleven FY2024 Annual Report, p.25</x:v>
      </x:c>
      <x:c r="N28" s="26" t="str">
        <x:v>The World's Largest Loyalty Programs (2026)</x:v>
      </x:c>
      <x:c r="O28" s="26" t="str">
        <x:v>https://retailtechinnovationhub.squarespace.com/s/Capillary-Edition-WLLP-Approved.pdf</x:v>
      </x:c>
      <x:c r="P28" s="26" t="str"/>
    </x:row>
    <x:row r="29">
      <x:c r="A29" t="n">
        <x:v>26</x:v>
      </x:c>
      <x:c r="B29" s="26" t="str">
        <x:v>ALL - Accor Live Limitless</x:v>
      </x:c>
      <x:c r="C29" s="26" t="str">
        <x:v>Accor</x:v>
      </x:c>
      <x:c r="D29" s="26" t="str">
        <x:v>Hotels</x:v>
      </x:c>
      <x:c r="E29" s="26" t="str">
        <x:v>Global</x:v>
      </x:c>
      <x:c r="F29" s="28" t="n">
        <x:v>100</x:v>
      </x:c>
      <x:c r="G29" s="26" t="n">
        <x:v>2025</x:v>
      </x:c>
      <x:c r="H29" s="26" t="str">
        <x:v>Members</x:v>
      </x:c>
      <x:c r="I29" s="26" t="str">
        <x:v>Mar-2025</x:v>
      </x:c>
      <x:c r="J29" s="26" t="str">
        <x:v>Current (≤4 years)</x:v>
      </x:c>
      <x:c r="K29" s="26" t="str">
        <x:v>B</x:v>
      </x:c>
      <x:c r="L29" s="26" t="str">
        <x:v>2026 industry report with cited underlying source</x:v>
      </x:c>
      <x:c r="M29" s="26" t="str">
        <x:v>Accor press release</x:v>
      </x:c>
      <x:c r="N29" s="26" t="str">
        <x:v>The World's Largest Loyalty Programs (2026)</x:v>
      </x:c>
      <x:c r="O29" s="26" t="str">
        <x:v>https://retailtechinnovationhub.squarespace.com/s/Capillary-Edition-WLLP-Approved.pdf</x:v>
      </x:c>
      <x:c r="P29" s="26" t="str"/>
    </x:row>
    <x:row r="30">
      <x:c r="A30" t="n">
        <x:v>27</x:v>
      </x:c>
      <x:c r="B30" s="26" t="str">
        <x:v>My Best Buy Membership</x:v>
      </x:c>
      <x:c r="C30" s="26" t="str">
        <x:v>Best Buy Co.</x:v>
      </x:c>
      <x:c r="D30" s="26" t="str">
        <x:v>Retail &amp; consumer brands</x:v>
      </x:c>
      <x:c r="E30" s="26" t="str">
        <x:v>United States</x:v>
      </x:c>
      <x:c r="F30" s="28" t="n">
        <x:v>100</x:v>
      </x:c>
      <x:c r="G30" s="26" t="n">
        <x:v>2023</x:v>
      </x:c>
      <x:c r="H30" s="26" t="str">
        <x:v>Members</x:v>
      </x:c>
      <x:c r="I30" s="26" t="str">
        <x:v>May-2023</x:v>
      </x:c>
      <x:c r="J30" s="26" t="str">
        <x:v>Current (≤4 years)</x:v>
      </x:c>
      <x:c r="K30" s="26" t="str">
        <x:v>C</x:v>
      </x:c>
      <x:c r="L30" s="26" t="str">
        <x:v>2026 industry report with cited underlying source</x:v>
      </x:c>
      <x:c r="M30" s="26" t="str">
        <x:v>CNBC</x:v>
      </x:c>
      <x:c r="N30" s="26" t="str">
        <x:v>The World's Largest Loyalty Programs (2026)</x:v>
      </x:c>
      <x:c r="O30" s="26" t="str">
        <x:v>https://retailtechinnovationhub.squarespace.com/s/Capillary-Edition-WLLP-Approved.pdf</x:v>
      </x:c>
      <x:c r="P30" s="26" t="str"/>
    </x:row>
    <x:row r="31">
      <x:c r="A31" t="n">
        <x:v>28</x:v>
      </x:c>
      <x:c r="B31" s="26" t="str">
        <x:v>Rakuten Rewards / Rakuten membership</x:v>
      </x:c>
      <x:c r="C31" s="26" t="str">
        <x:v>Rakuten Group</x:v>
      </x:c>
      <x:c r="D31" s="26" t="str">
        <x:v>Coalition &amp; points</x:v>
      </x:c>
      <x:c r="E31" s="26" t="str">
        <x:v>Global / Japan</x:v>
      </x:c>
      <x:c r="F31" s="28" t="n">
        <x:v>100</x:v>
      </x:c>
      <x:c r="G31" s="26" t="n">
        <x:v>2025</x:v>
      </x:c>
      <x:c r="H31" s="26" t="str">
        <x:v>Members / IDs</x:v>
      </x:c>
      <x:c r="I31" s="26" t="str">
        <x:v>Oct-2025</x:v>
      </x:c>
      <x:c r="J31" s="26" t="str">
        <x:v>Current (≤4 years)</x:v>
      </x:c>
      <x:c r="K31" s="26" t="str">
        <x:v>B</x:v>
      </x:c>
      <x:c r="L31" s="26" t="str">
        <x:v>2026 industry report with cited underlying source</x:v>
      </x:c>
      <x:c r="M31" s="26" t="str">
        <x:v>Rakuten website</x:v>
      </x:c>
      <x:c r="N31" s="26" t="str">
        <x:v>The World's Largest Loyalty Programs (2026)</x:v>
      </x:c>
      <x:c r="O31" s="26" t="str">
        <x:v>https://retailtechinnovationhub.squarespace.com/s/Capillary-Edition-WLLP-Approved.pdf</x:v>
      </x:c>
      <x:c r="P31" s="26" t="str"/>
    </x:row>
    <x:row r="32">
      <x:c r="A32" t="n">
        <x:v>29</x:v>
      </x:c>
      <x:c r="B32" s="26" t="str">
        <x:v>Globe Rewards</x:v>
      </x:c>
      <x:c r="C32" s="26" t="str">
        <x:v>Globe Telecom</x:v>
      </x:c>
      <x:c r="D32" s="26" t="str">
        <x:v>Telecom</x:v>
      </x:c>
      <x:c r="E32" s="26" t="str">
        <x:v>Philippines</x:v>
      </x:c>
      <x:c r="F32" s="28" t="n">
        <x:v>90</x:v>
      </x:c>
      <x:c r="G32" s="26" t="n">
        <x:v>2022</x:v>
      </x:c>
      <x:c r="H32" s="26" t="str">
        <x:v>Members</x:v>
      </x:c>
      <x:c r="I32" s="26" t="str">
        <x:v>Jul-2022</x:v>
      </x:c>
      <x:c r="J32" s="26" t="str">
        <x:v>Older than 4 years</x:v>
      </x:c>
      <x:c r="K32" s="26" t="str">
        <x:v>C</x:v>
      </x:c>
      <x:c r="L32" s="26" t="str">
        <x:v>2026 industry report with cited underlying source</x:v>
      </x:c>
      <x:c r="M32" s="26" t="str">
        <x:v>Business Wire</x:v>
      </x:c>
      <x:c r="N32" s="26" t="str">
        <x:v>The World's Largest Loyalty Programs (2026)</x:v>
      </x:c>
      <x:c r="O32" s="26" t="str">
        <x:v>https://retailtechinnovationhub.squarespace.com/s/Capillary-Edition-WLLP-Approved.pdf</x:v>
      </x:c>
      <x:c r="P32" s="26" t="str">
        <x:v>Publication falls just outside the four-year cutoff.</x:v>
      </x:c>
    </x:row>
    <x:row r="33">
      <x:c r="A33" t="n">
        <x:v>30</x:v>
      </x:c>
      <x:c r="B33" s="26" t="str">
        <x:v>A-Card</x:v>
      </x:c>
      <x:c r="C33" s="26" t="str">
        <x:v>Atour Lifestyle Holdings</x:v>
      </x:c>
      <x:c r="D33" s="26" t="str">
        <x:v>Hotels</x:v>
      </x:c>
      <x:c r="E33" s="26" t="str">
        <x:v>China</x:v>
      </x:c>
      <x:c r="F33" s="28" t="n">
        <x:v>89</x:v>
      </x:c>
      <x:c r="G33" s="26" t="n">
        <x:v>2024</x:v>
      </x:c>
      <x:c r="H33" s="26" t="str">
        <x:v>Members</x:v>
      </x:c>
      <x:c r="I33" s="26" t="str">
        <x:v>Dec-2024</x:v>
      </x:c>
      <x:c r="J33" s="26" t="str">
        <x:v>Current (≤4 years)</x:v>
      </x:c>
      <x:c r="K33" s="26" t="str">
        <x:v>B</x:v>
      </x:c>
      <x:c r="L33" s="26" t="str">
        <x:v>2026 industry report with cited underlying source</x:v>
      </x:c>
      <x:c r="M33" s="26" t="str">
        <x:v>Atour 2024 Annual Report, p.55</x:v>
      </x:c>
      <x:c r="N33" s="26" t="str">
        <x:v>The World's Largest Loyalty Programs (2026)</x:v>
      </x:c>
      <x:c r="O33" s="26" t="str">
        <x:v>https://retailtechinnovationhub.squarespace.com/s/Capillary-Edition-WLLP-Approved.pdf</x:v>
      </x:c>
      <x:c r="P33" s="26" t="str"/>
    </x:row>
    <x:row r="34">
      <x:c r="A34" t="n">
        <x:v>31</x:v>
      </x:c>
      <x:c r="B34" s="26" t="str">
        <x:v>CVS ExtraCare</x:v>
      </x:c>
      <x:c r="C34" s="26" t="str">
        <x:v>CVS Health</x:v>
      </x:c>
      <x:c r="D34" s="26" t="str">
        <x:v>Retail &amp; pharmacy</x:v>
      </x:c>
      <x:c r="E34" s="26" t="str">
        <x:v>United States</x:v>
      </x:c>
      <x:c r="F34" s="28" t="n">
        <x:v>74</x:v>
      </x:c>
      <x:c r="G34" s="26" t="n">
        <x:v>2024</x:v>
      </x:c>
      <x:c r="H34" s="26" t="str">
        <x:v>Members / households</x:v>
      </x:c>
      <x:c r="I34" s="26" t="str">
        <x:v>Jan-2024</x:v>
      </x:c>
      <x:c r="J34" s="26" t="str">
        <x:v>Current (≤4 years)</x:v>
      </x:c>
      <x:c r="K34" s="26" t="str">
        <x:v>C</x:v>
      </x:c>
      <x:c r="L34" s="26" t="str">
        <x:v>2026 industry report with cited underlying source</x:v>
      </x:c>
      <x:c r="M34" s="26" t="str">
        <x:v>PYMNTS</x:v>
      </x:c>
      <x:c r="N34" s="26" t="str">
        <x:v>The World's Largest Loyalty Programs (2026)</x:v>
      </x:c>
      <x:c r="O34" s="26" t="str">
        <x:v>https://retailtechinnovationhub.squarespace.com/s/Capillary-Edition-WLLP-Approved.pdf</x:v>
      </x:c>
      <x:c r="P34" s="26" t="str"/>
    </x:row>
    <x:row r="35">
      <x:c r="A35" t="n">
        <x:v>32</x:v>
      </x:c>
      <x:c r="B35" s="26" t="str">
        <x:v>GreenTree loyalty program</x:v>
      </x:c>
      <x:c r="C35" s="26" t="str">
        <x:v>GreenTree Hospitality Group</x:v>
      </x:c>
      <x:c r="D35" s="26" t="str">
        <x:v>Hotels</x:v>
      </x:c>
      <x:c r="E35" s="26" t="str">
        <x:v>China</x:v>
      </x:c>
      <x:c r="F35" s="28" t="n">
        <x:v>74</x:v>
      </x:c>
      <x:c r="G35" s="26" t="n">
        <x:v>2022</x:v>
      </x:c>
      <x:c r="H35" s="26" t="str">
        <x:v>Members</x:v>
      </x:c>
      <x:c r="I35" s="26" t="str">
        <x:v>Oct-2022</x:v>
      </x:c>
      <x:c r="J35" s="26" t="str">
        <x:v>Older than 4 years</x:v>
      </x:c>
      <x:c r="K35" s="26" t="str">
        <x:v>B</x:v>
      </x:c>
      <x:c r="L35" s="26" t="str">
        <x:v>2026 industry report with cited underlying source</x:v>
      </x:c>
      <x:c r="M35" s="26" t="str">
        <x:v>SEC filings</x:v>
      </x:c>
      <x:c r="N35" s="26" t="str">
        <x:v>The World's Largest Loyalty Programs (2026)</x:v>
      </x:c>
      <x:c r="O35" s="26" t="str">
        <x:v>https://retailtechinnovationhub.squarespace.com/s/Capillary-Edition-WLLP-Approved.pdf</x:v>
      </x:c>
      <x:c r="P35" s="26" t="str"/>
    </x:row>
    <x:row r="36">
      <x:c r="A36" t="n">
        <x:v>33</x:v>
      </x:c>
      <x:c r="B36" s="26" t="str">
        <x:v>Choice Privileges</x:v>
      </x:c>
      <x:c r="C36" s="26" t="str">
        <x:v>Choice Hotels International</x:v>
      </x:c>
      <x:c r="D36" s="26" t="str">
        <x:v>Hotels</x:v>
      </x:c>
      <x:c r="E36" s="26" t="str">
        <x:v>Global</x:v>
      </x:c>
      <x:c r="F36" s="28" t="n">
        <x:v>74</x:v>
      </x:c>
      <x:c r="G36" s="26" t="n">
        <x:v>2025</x:v>
      </x:c>
      <x:c r="H36" s="26" t="str">
        <x:v>Members</x:v>
      </x:c>
      <x:c r="I36" s="26" t="str">
        <x:v>Feb-2026</x:v>
      </x:c>
      <x:c r="J36" s="26" t="str">
        <x:v>Current (≤4 years)</x:v>
      </x:c>
      <x:c r="K36" s="26" t="str">
        <x:v>B</x:v>
      </x:c>
      <x:c r="L36" s="26" t="str">
        <x:v>2026 industry report with cited underlying source</x:v>
      </x:c>
      <x:c r="M36" s="26" t="str">
        <x:v>Choice Hotels Q4 2025 earnings</x:v>
      </x:c>
      <x:c r="N36" s="26" t="str">
        <x:v>The World's Largest Loyalty Programs (2026)</x:v>
      </x:c>
      <x:c r="O36" s="26" t="str">
        <x:v>https://retailtechinnovationhub.squarespace.com/s/Capillary-Edition-WLLP-Approved.pdf</x:v>
      </x:c>
      <x:c r="P36" s="26" t="str"/>
    </x:row>
    <x:row r="37">
      <x:c r="A37" t="n">
        <x:v>34</x:v>
      </x:c>
      <x:c r="B37" s="26" t="str">
        <x:v>Treats Rewards</x:v>
      </x:c>
      <x:c r="C37" s="26" t="str">
        <x:v>PetSmart</x:v>
      </x:c>
      <x:c r="D37" s="26" t="str">
        <x:v>Retail &amp; pet care</x:v>
      </x:c>
      <x:c r="E37" s="26" t="str">
        <x:v>North America</x:v>
      </x:c>
      <x:c r="F37" s="28" t="n">
        <x:v>70</x:v>
      </x:c>
      <x:c r="G37" s="26" t="n">
        <x:v>2025</x:v>
      </x:c>
      <x:c r="H37" s="26" t="str">
        <x:v>Members</x:v>
      </x:c>
      <x:c r="I37" s="26" t="str">
        <x:v>Jun-2025</x:v>
      </x:c>
      <x:c r="J37" s="26" t="str">
        <x:v>Current (≤4 years)</x:v>
      </x:c>
      <x:c r="K37" s="26" t="str">
        <x:v>C</x:v>
      </x:c>
      <x:c r="L37" s="26" t="str">
        <x:v>2026 industry report with cited underlying source</x:v>
      </x:c>
      <x:c r="M37" s="26" t="str">
        <x:v>Hightouch case study</x:v>
      </x:c>
      <x:c r="N37" s="26" t="str">
        <x:v>The World's Largest Loyalty Programs (2026)</x:v>
      </x:c>
      <x:c r="O37" s="26" t="str">
        <x:v>https://retailtechinnovationhub.squarespace.com/s/Capillary-Edition-WLLP-Approved.pdf</x:v>
      </x:c>
      <x:c r="P37" s="26" t="str"/>
    </x:row>
    <x:row r="38">
      <x:c r="A38" t="n">
        <x:v>35</x:v>
      </x:c>
      <x:c r="B38" s="26" t="str">
        <x:v>IAG Loyalty portfolio</x:v>
      </x:c>
      <x:c r="C38" s="26" t="str">
        <x:v>International Airlines Group</x:v>
      </x:c>
      <x:c r="D38" s="26" t="str">
        <x:v>Airlines</x:v>
      </x:c>
      <x:c r="E38" s="26" t="str">
        <x:v>Global</x:v>
      </x:c>
      <x:c r="F38" s="28" t="n">
        <x:v>69</x:v>
      </x:c>
      <x:c r="G38" s="26" t="n">
        <x:v>2025</x:v>
      </x:c>
      <x:c r="H38" s="26" t="str">
        <x:v>Combined members across BA Club, AerClub, Iberia Club, Vueling Club, Qatar Privilege Club, Finnair Plus and Loganair</x:v>
      </x:c>
      <x:c r="I38" s="26" t="str">
        <x:v>Oct-2025</x:v>
      </x:c>
      <x:c r="J38" s="26" t="str">
        <x:v>Current (≤4 years)</x:v>
      </x:c>
      <x:c r="K38" s="26" t="str">
        <x:v>B</x:v>
      </x:c>
      <x:c r="L38" s="26" t="str">
        <x:v>2026 industry report with cited underlying source</x:v>
      </x:c>
      <x:c r="M38" s="26" t="str">
        <x:v>IAG Loyalty website</x:v>
      </x:c>
      <x:c r="N38" s="26" t="str">
        <x:v>The World's Largest Loyalty Programs (2026)</x:v>
      </x:c>
      <x:c r="O38" s="26" t="str">
        <x:v>https://retailtechinnovationhub.squarespace.com/s/Capillary-Edition-WLLP-Approved.pdf</x:v>
      </x:c>
      <x:c r="P38" s="26" t="str"/>
    </x:row>
    <x:row r="39">
      <x:c r="A39" t="n">
        <x:v>36</x:v>
      </x:c>
      <x:c r="B39" s="26" t="str">
        <x:v>Best Western Rewards</x:v>
      </x:c>
      <x:c r="C39" s="26" t="str">
        <x:v>BWH Hotels</x:v>
      </x:c>
      <x:c r="D39" s="26" t="str">
        <x:v>Hotels</x:v>
      </x:c>
      <x:c r="E39" s="26" t="str">
        <x:v>Global</x:v>
      </x:c>
      <x:c r="F39" s="28" t="n">
        <x:v>64</x:v>
      </x:c>
      <x:c r="G39" s="26" t="n">
        <x:v>2025</x:v>
      </x:c>
      <x:c r="H39" s="26" t="str">
        <x:v>Members</x:v>
      </x:c>
      <x:c r="I39" s="26" t="str">
        <x:v>Sep-2025</x:v>
      </x:c>
      <x:c r="J39" s="26" t="str">
        <x:v>Current (≤4 years)</x:v>
      </x:c>
      <x:c r="K39" s="26" t="str">
        <x:v>B</x:v>
      </x:c>
      <x:c r="L39" s="26" t="str">
        <x:v>2026 industry report with cited underlying source</x:v>
      </x:c>
      <x:c r="M39" s="26" t="str">
        <x:v>BWH Hotels press release</x:v>
      </x:c>
      <x:c r="N39" s="26" t="str">
        <x:v>The World's Largest Loyalty Programs (2026)</x:v>
      </x:c>
      <x:c r="O39" s="26" t="str">
        <x:v>https://retailtechinnovationhub.squarespace.com/s/Capillary-Edition-WLLP-Approved.pdf</x:v>
      </x:c>
      <x:c r="P39" s="26" t="str"/>
    </x:row>
    <x:row r="40">
      <x:c r="A40" t="n">
        <x:v>37</x:v>
      </x:c>
      <x:c r="B40" s="26" t="str">
        <x:v>World of Hyatt</x:v>
      </x:c>
      <x:c r="C40" s="26" t="str">
        <x:v>Hyatt Hotels Corporation</x:v>
      </x:c>
      <x:c r="D40" s="26" t="str">
        <x:v>Hotels</x:v>
      </x:c>
      <x:c r="E40" s="26" t="str">
        <x:v>Global</x:v>
      </x:c>
      <x:c r="F40" s="28" t="n">
        <x:v>63</x:v>
      </x:c>
      <x:c r="G40" s="26" t="n">
        <x:v>2025</x:v>
      </x:c>
      <x:c r="H40" s="26" t="str">
        <x:v>Members</x:v>
      </x:c>
      <x:c r="I40" s="26" t="str">
        <x:v>Feb-2026</x:v>
      </x:c>
      <x:c r="J40" s="26" t="str">
        <x:v>Current (≤4 years)</x:v>
      </x:c>
      <x:c r="K40" s="26" t="str">
        <x:v>B</x:v>
      </x:c>
      <x:c r="L40" s="26" t="str">
        <x:v>2026 industry report with cited underlying source</x:v>
      </x:c>
      <x:c r="M40" s="26" t="str">
        <x:v>Hyatt Q4 presentation, p.7</x:v>
      </x:c>
      <x:c r="N40" s="26" t="str">
        <x:v>The World's Largest Loyalty Programs (2026)</x:v>
      </x:c>
      <x:c r="O40" s="26" t="str">
        <x:v>https://retailtechinnovationhub.squarespace.com/s/Capillary-Edition-WLLP-Approved.pdf</x:v>
      </x:c>
      <x:c r="P40" s="26" t="str"/>
    </x:row>
    <x:row r="41">
      <x:c r="A41" t="n">
        <x:v>38</x:v>
      </x:c>
      <x:c r="B41" s="26" t="str">
        <x:v>Kroger Plus</x:v>
      </x:c>
      <x:c r="C41" s="26" t="str">
        <x:v>The Kroger Co.</x:v>
      </x:c>
      <x:c r="D41" s="26" t="str">
        <x:v>Retail &amp; grocery</x:v>
      </x:c>
      <x:c r="E41" s="26" t="str">
        <x:v>United States</x:v>
      </x:c>
      <x:c r="F41" s="28" t="n">
        <x:v>63</x:v>
      </x:c>
      <x:c r="G41" s="26" t="n">
        <x:v>2024</x:v>
      </x:c>
      <x:c r="H41" s="26" t="str">
        <x:v>Households / loyalty members</x:v>
      </x:c>
      <x:c r="I41" s="26" t="str">
        <x:v>Mar-2025</x:v>
      </x:c>
      <x:c r="J41" s="26" t="str">
        <x:v>Current (≤4 years)</x:v>
      </x:c>
      <x:c r="K41" s="26" t="str">
        <x:v>B</x:v>
      </x:c>
      <x:c r="L41" s="26" t="str">
        <x:v>2026 industry report with cited underlying source</x:v>
      </x:c>
      <x:c r="M41" s="26" t="str">
        <x:v>Kroger 2024 Annual Report, p.99</x:v>
      </x:c>
      <x:c r="N41" s="26" t="str">
        <x:v>The World's Largest Loyalty Programs (2026)</x:v>
      </x:c>
      <x:c r="O41" s="26" t="str">
        <x:v>https://retailtechinnovationhub.squarespace.com/s/Capillary-Edition-WLLP-Approved.pdf</x:v>
      </x:c>
      <x:c r="P41" s="26" t="str"/>
    </x:row>
    <x:row r="42">
      <x:c r="A42" t="n">
        <x:v>39</x:v>
      </x:c>
      <x:c r="B42" s="26" t="str">
        <x:v>Samsung Rewards</x:v>
      </x:c>
      <x:c r="C42" s="26" t="str">
        <x:v>Samsung Electronics</x:v>
      </x:c>
      <x:c r="D42" s="26" t="str">
        <x:v>Retail &amp; technology</x:v>
      </x:c>
      <x:c r="E42" s="26" t="str">
        <x:v>Global</x:v>
      </x:c>
      <x:c r="F42" s="28" t="n">
        <x:v>60</x:v>
      </x:c>
      <x:c r="G42" s="26" t="n">
        <x:v>2023</x:v>
      </x:c>
      <x:c r="H42" s="26" t="str">
        <x:v>Members</x:v>
      </x:c>
      <x:c r="I42" s="26" t="str">
        <x:v>May-2023</x:v>
      </x:c>
      <x:c r="J42" s="26" t="str">
        <x:v>Current (≤4 years)</x:v>
      </x:c>
      <x:c r="K42" s="26" t="str">
        <x:v>C</x:v>
      </x:c>
      <x:c r="L42" s="26" t="str">
        <x:v>2026 industry report with cited underlying source</x:v>
      </x:c>
      <x:c r="M42" s="26" t="str">
        <x:v>Let's Talk Loyalty interview</x:v>
      </x:c>
      <x:c r="N42" s="26" t="str">
        <x:v>The World's Largest Loyalty Programs (2026)</x:v>
      </x:c>
      <x:c r="O42" s="26" t="str">
        <x:v>https://retailtechinnovationhub.squarespace.com/s/Capillary-Edition-WLLP-Approved.pdf</x:v>
      </x:c>
      <x:c r="P42" s="26" t="str"/>
    </x:row>
    <x:row r="43">
      <x:c r="A43" t="n">
        <x:v>40</x:v>
      </x:c>
      <x:c r="B43" s="26" t="str">
        <x:v>AAA Discounts &amp; Rewards</x:v>
      </x:c>
      <x:c r="C43" s="26" t="str">
        <x:v>American Automobile Association</x:v>
      </x:c>
      <x:c r="D43" s="26" t="str">
        <x:v>Membership &amp; services</x:v>
      </x:c>
      <x:c r="E43" s="26" t="str">
        <x:v>United States / Canada</x:v>
      </x:c>
      <x:c r="F43" s="28" t="n">
        <x:v>59</x:v>
      </x:c>
      <x:c r="G43" s="26" t="n">
        <x:v>2025</x:v>
      </x:c>
      <x:c r="H43" s="26" t="str">
        <x:v>Members</x:v>
      </x:c>
      <x:c r="I43" s="26" t="str">
        <x:v>Aug-2025</x:v>
      </x:c>
      <x:c r="J43" s="26" t="str">
        <x:v>Current (≤4 years)</x:v>
      </x:c>
      <x:c r="K43" s="26" t="str">
        <x:v>B</x:v>
      </x:c>
      <x:c r="L43" s="26" t="str">
        <x:v>2026 industry report with cited underlying source</x:v>
      </x:c>
      <x:c r="M43" s="26" t="str">
        <x:v>AAA website</x:v>
      </x:c>
      <x:c r="N43" s="26" t="str">
        <x:v>The World's Largest Loyalty Programs (2026)</x:v>
      </x:c>
      <x:c r="O43" s="26" t="str">
        <x:v>https://retailtechinnovationhub.squarespace.com/s/Capillary-Edition-WLLP-Approved.pdf</x:v>
      </x:c>
      <x:c r="P43" s="26" t="str"/>
    </x:row>
    <x:row r="44">
      <x:c r="A44" t="n">
        <x:v>41</x:v>
      </x:c>
      <x:c r="B44" s="26" t="str">
        <x:v>Walmart+</x:v>
      </x:c>
      <x:c r="C44" s="26" t="str">
        <x:v>Walmart Inc.</x:v>
      </x:c>
      <x:c r="D44" s="26" t="str">
        <x:v>Paid membership &amp; e-commerce</x:v>
      </x:c>
      <x:c r="E44" s="26" t="str">
        <x:v>United States</x:v>
      </x:c>
      <x:c r="F44" s="28" t="n">
        <x:v>59</x:v>
      </x:c>
      <x:c r="G44" s="26" t="n">
        <x:v>2023</x:v>
      </x:c>
      <x:c r="H44" s="26" t="str">
        <x:v>Members / estimate</x:v>
      </x:c>
      <x:c r="I44" s="26" t="str">
        <x:v>Feb-2023</x:v>
      </x:c>
      <x:c r="J44" s="26" t="str">
        <x:v>Current (≤4 years)</x:v>
      </x:c>
      <x:c r="K44" s="26" t="str">
        <x:v>C</x:v>
      </x:c>
      <x:c r="L44" s="26" t="str">
        <x:v>2026 industry report with cited underlying source</x:v>
      </x:c>
      <x:c r="M44" s="26" t="str">
        <x:v>PYMNTS</x:v>
      </x:c>
      <x:c r="N44" s="26" t="str">
        <x:v>The World's Largest Loyalty Programs (2026)</x:v>
      </x:c>
      <x:c r="O44" s="26" t="str">
        <x:v>https://retailtechinnovationhub.squarespace.com/s/Capillary-Edition-WLLP-Approved.pdf</x:v>
      </x:c>
      <x:c r="P44" s="26" t="str">
        <x:v>Estimate rather than direct audited membership disclosure.</x:v>
      </x:c>
    </x:row>
    <x:row r="45">
      <x:c r="A45" t="n">
        <x:v>42</x:v>
      </x:c>
      <x:c r="B45" s="26" t="str">
        <x:v>Starbucks Rewards</x:v>
      </x:c>
      <x:c r="C45" s="26" t="str">
        <x:v>Starbucks Corporation</x:v>
      </x:c>
      <x:c r="D45" s="26" t="str">
        <x:v>Restaurants &amp; QSR</x:v>
      </x:c>
      <x:c r="E45" s="26" t="str">
        <x:v>United States / China</x:v>
      </x:c>
      <x:c r="F45" s="28" t="n">
        <x:v>55</x:v>
      </x:c>
      <x:c r="G45" s="26" t="n">
        <x:v>2025</x:v>
      </x:c>
      <x:c r="H45" s="26" t="str">
        <x:v>Active members / combined markets</x:v>
      </x:c>
      <x:c r="I45" s="26" t="str">
        <x:v>Jul-2025</x:v>
      </x:c>
      <x:c r="J45" s="26" t="str">
        <x:v>Current (≤4 years)</x:v>
      </x:c>
      <x:c r="K45" s="26" t="str">
        <x:v>C</x:v>
      </x:c>
      <x:c r="L45" s="26" t="str">
        <x:v>2026 industry report with cited underlying source</x:v>
      </x:c>
      <x:c r="M45" s="26" t="str">
        <x:v>Marketing Dive and QSR Magazine</x:v>
      </x:c>
      <x:c r="N45" s="26" t="str">
        <x:v>The World's Largest Loyalty Programs (2026)</x:v>
      </x:c>
      <x:c r="O45" s="26" t="str">
        <x:v>https://retailtechinnovationhub.squarespace.com/s/Capillary-Edition-WLLP-Approved.pdf</x:v>
      </x:c>
      <x:c r="P45" s="26" t="str">
        <x:v>Combined figure is not directly comparable with US-only 90-day active membership.</x:v>
      </x:c>
    </x:row>
    <x:row r="46">
      <x:c r="A46" t="n">
        <x:v>43</x:v>
      </x:c>
      <x:c r="B46" s="26" t="str">
        <x:v>MyPanera</x:v>
      </x:c>
      <x:c r="C46" s="26" t="str">
        <x:v>Panera Brands</x:v>
      </x:c>
      <x:c r="D46" s="26" t="str">
        <x:v>Restaurants &amp; QSR</x:v>
      </x:c>
      <x:c r="E46" s="26" t="str">
        <x:v>United States</x:v>
      </x:c>
      <x:c r="F46" s="28" t="n">
        <x:v>52</x:v>
      </x:c>
      <x:c r="G46" s="26" t="n">
        <x:v>2023</x:v>
      </x:c>
      <x:c r="H46" s="26" t="str">
        <x:v>Members</x:v>
      </x:c>
      <x:c r="I46" s="26" t="str">
        <x:v>Mar-2023</x:v>
      </x:c>
      <x:c r="J46" s="26" t="str">
        <x:v>Current (≤4 years)</x:v>
      </x:c>
      <x:c r="K46" s="26" t="str">
        <x:v>B</x:v>
      </x:c>
      <x:c r="L46" s="26" t="str">
        <x:v>2026 industry report with cited underlying source</x:v>
      </x:c>
      <x:c r="M46" s="26" t="str">
        <x:v>Panera press release</x:v>
      </x:c>
      <x:c r="N46" s="26" t="str">
        <x:v>The World's Largest Loyalty Programs (2026)</x:v>
      </x:c>
      <x:c r="O46" s="26" t="str">
        <x:v>https://retailtechinnovationhub.squarespace.com/s/Capillary-Edition-WLLP-Approved.pdf</x:v>
      </x:c>
      <x:c r="P46" s="26" t="str"/>
    </x:row>
    <x:row r="47">
      <x:c r="A47" t="n">
        <x:v>44</x:v>
      </x:c>
      <x:c r="B47" s="26" t="str">
        <x:v>LATAM Pass</x:v>
      </x:c>
      <x:c r="C47" s="26" t="str">
        <x:v>LATAM Airlines Group</x:v>
      </x:c>
      <x:c r="D47" s="26" t="str">
        <x:v>Airlines</x:v>
      </x:c>
      <x:c r="E47" s="26" t="str">
        <x:v>Latin America / Global</x:v>
      </x:c>
      <x:c r="F47" s="28" t="n">
        <x:v>51</x:v>
      </x:c>
      <x:c r="G47" s="26" t="n">
        <x:v>2025</x:v>
      </x:c>
      <x:c r="H47" s="26" t="str">
        <x:v>Members</x:v>
      </x:c>
      <x:c r="I47" s="26" t="str">
        <x:v>Aug-2025</x:v>
      </x:c>
      <x:c r="J47" s="26" t="str">
        <x:v>Current (≤4 years)</x:v>
      </x:c>
      <x:c r="K47" s="26" t="str">
        <x:v>C</x:v>
      </x:c>
      <x:c r="L47" s="26" t="str">
        <x:v>2026 industry report with cited underlying source</x:v>
      </x:c>
      <x:c r="M47" s="26" t="str">
        <x:v>ZoneBourse citing LATAM</x:v>
      </x:c>
      <x:c r="N47" s="26" t="str">
        <x:v>The World's Largest Loyalty Programs (2026)</x:v>
      </x:c>
      <x:c r="O47" s="26" t="str">
        <x:v>https://retailtechinnovationhub.squarespace.com/s/Capillary-Edition-WLLP-Approved.pdf</x:v>
      </x:c>
      <x:c r="P47" s="26" t="str"/>
    </x:row>
    <x:row r="48">
      <x:c r="A48" t="n">
        <x:v>45</x:v>
      </x:c>
      <x:c r="B48" s="26" t="str">
        <x:v>88VIP</x:v>
      </x:c>
      <x:c r="C48" s="26" t="str">
        <x:v>Alibaba Group</x:v>
      </x:c>
      <x:c r="D48" s="26" t="str">
        <x:v>Paid membership &amp; e-commerce</x:v>
      </x:c>
      <x:c r="E48" s="26" t="str">
        <x:v>China</x:v>
      </x:c>
      <x:c r="F48" s="28" t="n">
        <x:v>50</x:v>
      </x:c>
      <x:c r="G48" s="26" t="n">
        <x:v>2025</x:v>
      </x:c>
      <x:c r="H48" s="26" t="str">
        <x:v>Members</x:v>
      </x:c>
      <x:c r="I48" s="26" t="str">
        <x:v>Mar-2025</x:v>
      </x:c>
      <x:c r="J48" s="26" t="str">
        <x:v>Current (≤4 years)</x:v>
      </x:c>
      <x:c r="K48" s="26" t="str">
        <x:v>B</x:v>
      </x:c>
      <x:c r="L48" s="26" t="str">
        <x:v>2026 industry report with cited underlying source</x:v>
      </x:c>
      <x:c r="M48" s="26" t="str">
        <x:v>Alibaba website</x:v>
      </x:c>
      <x:c r="N48" s="26" t="str">
        <x:v>The World's Largest Loyalty Programs (2026)</x:v>
      </x:c>
      <x:c r="O48" s="26" t="str">
        <x:v>https://retailtechinnovationhub.squarespace.com/s/Capillary-Edition-WLLP-Approved.pdf</x:v>
      </x:c>
      <x:c r="P48" s="26" t="str"/>
    </x:row>
    <x:row r="49">
      <x:c r="A49" t="n">
        <x:v>46</x:v>
      </x:c>
      <x:c r="B49" s="26" t="str">
        <x:v>Chick-fil-A One</x:v>
      </x:c>
      <x:c r="C49" s="26" t="str">
        <x:v>Chick-fil-A</x:v>
      </x:c>
      <x:c r="D49" s="26" t="str">
        <x:v>Restaurants &amp; QSR</x:v>
      </x:c>
      <x:c r="E49" s="26" t="str">
        <x:v>United States</x:v>
      </x:c>
      <x:c r="F49" s="28" t="n">
        <x:v>50</x:v>
      </x:c>
      <x:c r="G49" s="26" t="n">
        <x:v>2023</x:v>
      </x:c>
      <x:c r="H49" s="26" t="str">
        <x:v>Members</x:v>
      </x:c>
      <x:c r="I49" s="26" t="str">
        <x:v>Mar-2023</x:v>
      </x:c>
      <x:c r="J49" s="26" t="str">
        <x:v>Current (≤4 years)</x:v>
      </x:c>
      <x:c r="K49" s="26" t="str">
        <x:v>C</x:v>
      </x:c>
      <x:c r="L49" s="26" t="str">
        <x:v>2026 industry report with cited underlying source</x:v>
      </x:c>
      <x:c r="M49" s="26" t="str">
        <x:v>Restaurant Dive</x:v>
      </x:c>
      <x:c r="N49" s="26" t="str">
        <x:v>The World's Largest Loyalty Programs (2026)</x:v>
      </x:c>
      <x:c r="O49" s="26" t="str">
        <x:v>https://retailtechinnovationhub.squarespace.com/s/Capillary-Edition-WLLP-Approved.pdf</x:v>
      </x:c>
      <x:c r="P49" s="26" t="str"/>
    </x:row>
    <x:row r="50">
      <x:c r="A50" t="n">
        <x:v>47</x:v>
      </x:c>
      <x:c r="B50" s="26" t="str">
        <x:v>Eastern Miles</x:v>
      </x:c>
      <x:c r="C50" s="26" t="str">
        <x:v>China Eastern Airlines</x:v>
      </x:c>
      <x:c r="D50" s="26" t="str">
        <x:v>Airlines</x:v>
      </x:c>
      <x:c r="E50" s="26" t="str">
        <x:v>China / Global</x:v>
      </x:c>
      <x:c r="F50" s="28" t="n">
        <x:v>50</x:v>
      </x:c>
      <x:c r="G50" s="26" t="n">
        <x:v>2022</x:v>
      </x:c>
      <x:c r="H50" s="26" t="str">
        <x:v>Members</x:v>
      </x:c>
      <x:c r="I50" s="26" t="str">
        <x:v>Sep-2022</x:v>
      </x:c>
      <x:c r="J50" s="26" t="str">
        <x:v>Older than 4 years</x:v>
      </x:c>
      <x:c r="K50" s="26" t="str">
        <x:v>C</x:v>
      </x:c>
      <x:c r="L50" s="26" t="str">
        <x:v>2026 industry report with cited underlying source</x:v>
      </x:c>
      <x:c r="M50" s="26" t="str">
        <x:v>China Travel News</x:v>
      </x:c>
      <x:c r="N50" s="26" t="str">
        <x:v>The World's Largest Loyalty Programs (2026)</x:v>
      </x:c>
      <x:c r="O50" s="26" t="str">
        <x:v>https://retailtechinnovationhub.squarespace.com/s/Capillary-Edition-WLLP-Approved.pdf</x:v>
      </x:c>
      <x:c r="P50" s="26" t="str"/>
    </x:row>
    <x:row r="51">
      <x:c r="A51" t="n">
        <x:v>48</x:v>
      </x:c>
      <x:c r="B51" s="26" t="str">
        <x:v>Dotz</x:v>
      </x:c>
      <x:c r="C51" s="26" t="str">
        <x:v>Dotz S.A.</x:v>
      </x:c>
      <x:c r="D51" s="26" t="str">
        <x:v>Coalition &amp; points</x:v>
      </x:c>
      <x:c r="E51" s="26" t="str">
        <x:v>Brazil</x:v>
      </x:c>
      <x:c r="F51" s="28" t="n">
        <x:v>50</x:v>
      </x:c>
      <x:c r="G51" s="26" t="n">
        <x:v>2023</x:v>
      </x:c>
      <x:c r="H51" s="26" t="str">
        <x:v>Members</x:v>
      </x:c>
      <x:c r="I51" s="26" t="str">
        <x:v>Apr-2023</x:v>
      </x:c>
      <x:c r="J51" s="26" t="str">
        <x:v>Current (≤4 years)</x:v>
      </x:c>
      <x:c r="K51" s="26" t="str">
        <x:v>C</x:v>
      </x:c>
      <x:c r="L51" s="26" t="str">
        <x:v>2026 industry report with cited underlying source</x:v>
      </x:c>
      <x:c r="M51" s="26" t="str">
        <x:v>Let's Talk Loyalty interview</x:v>
      </x:c>
      <x:c r="N51" s="26" t="str">
        <x:v>The World's Largest Loyalty Programs (2026)</x:v>
      </x:c>
      <x:c r="O51" s="26" t="str">
        <x:v>https://retailtechinnovationhub.squarespace.com/s/Capillary-Edition-WLLP-Approved.pdf</x:v>
      </x:c>
      <x:c r="P51" s="26" t="str"/>
    </x:row>
    <x:row r="52">
      <x:c r="A52" t="n">
        <x:v>49</x:v>
      </x:c>
      <x:c r="B52" s="26" t="str">
        <x:v>Albertsons for U</x:v>
      </x:c>
      <x:c r="C52" s="26" t="str">
        <x:v>Albertsons Companies</x:v>
      </x:c>
      <x:c r="D52" s="26" t="str">
        <x:v>Retail &amp; grocery</x:v>
      </x:c>
      <x:c r="E52" s="26" t="str">
        <x:v>United States</x:v>
      </x:c>
      <x:c r="F52" s="28" t="n">
        <x:v>47</x:v>
      </x:c>
      <x:c r="G52" s="26" t="n">
        <x:v>2025</x:v>
      </x:c>
      <x:c r="H52" s="26" t="str">
        <x:v>Members / households</x:v>
      </x:c>
      <x:c r="I52" s="26" t="str">
        <x:v>Jul-2025</x:v>
      </x:c>
      <x:c r="J52" s="26" t="str">
        <x:v>Current (≤4 years)</x:v>
      </x:c>
      <x:c r="K52" s="26" t="str">
        <x:v>B</x:v>
      </x:c>
      <x:c r="L52" s="26" t="str">
        <x:v>2026 industry report with cited underlying source</x:v>
      </x:c>
      <x:c r="M52" s="26" t="str">
        <x:v>Albertsons Q1 2025 financial report</x:v>
      </x:c>
      <x:c r="N52" s="26" t="str">
        <x:v>The World's Largest Loyalty Programs (2026)</x:v>
      </x:c>
      <x:c r="O52" s="26" t="str">
        <x:v>https://retailtechinnovationhub.squarespace.com/s/Capillary-Edition-WLLP-Approved.pdf</x:v>
      </x:c>
      <x:c r="P52" s="26" t="str"/>
    </x:row>
    <x:row r="53">
      <x:c r="A53" t="n">
        <x:v>50</x:v>
      </x:c>
      <x:c r="B53" s="26" t="str">
        <x:v>Landmark Rewards</x:v>
      </x:c>
      <x:c r="C53" s="26" t="str">
        <x:v>Landmark Group</x:v>
      </x:c>
      <x:c r="D53" s="26" t="str">
        <x:v>Retail &amp; consumer brands</x:v>
      </x:c>
      <x:c r="E53" s="26" t="str">
        <x:v>Middle East / India</x:v>
      </x:c>
      <x:c r="F53" s="28" t="n">
        <x:v>46</x:v>
      </x:c>
      <x:c r="G53" s="26" t="n">
        <x:v>2019</x:v>
      </x:c>
      <x:c r="H53" s="26" t="str">
        <x:v>Members</x:v>
      </x:c>
      <x:c r="I53" s="26" t="str">
        <x:v>Jun-2019</x:v>
      </x:c>
      <x:c r="J53" s="26" t="str">
        <x:v>Older than 4 years</x:v>
      </x:c>
      <x:c r="K53" s="26" t="str">
        <x:v>B</x:v>
      </x:c>
      <x:c r="L53" s="26" t="str">
        <x:v>2026 industry report with cited underlying source</x:v>
      </x:c>
      <x:c r="M53" s="26" t="str">
        <x:v>Landmark sustainability report</x:v>
      </x:c>
      <x:c r="N53" s="26" t="str">
        <x:v>The World's Largest Loyalty Programs (2026)</x:v>
      </x:c>
      <x:c r="O53" s="26" t="str">
        <x:v>https://retailtechinnovationhub.squarespace.com/s/Capillary-Edition-WLLP-Approved.pdf</x:v>
      </x:c>
      <x:c r="P53" s="26" t="str">
        <x:v>Disclosure is older than four years.</x:v>
      </x:c>
    </x:row>
    <x:row r="54">
      <x:c r="A54" t="n">
        <x:v>51</x:v>
      </x:c>
      <x:c r="B54" s="26" t="str">
        <x:v>Livelo</x:v>
      </x:c>
      <x:c r="C54" s="26" t="str">
        <x:v>Livelo S.A. / Banco do Brasil and Bradesco</x:v>
      </x:c>
      <x:c r="D54" s="26" t="str">
        <x:v>Coalition &amp; points</x:v>
      </x:c>
      <x:c r="E54" s="26" t="str">
        <x:v>Brazil</x:v>
      </x:c>
      <x:c r="F54" s="28" t="n">
        <x:v>45</x:v>
      </x:c>
      <x:c r="G54" s="26" t="n">
        <x:v>2024</x:v>
      </x:c>
      <x:c r="H54" s="26" t="str">
        <x:v>Members</x:v>
      </x:c>
      <x:c r="I54" s="26" t="str">
        <x:v>Aug-2024</x:v>
      </x:c>
      <x:c r="J54" s="26" t="str">
        <x:v>Current (≤4 years)</x:v>
      </x:c>
      <x:c r="K54" s="26" t="str">
        <x:v>C</x:v>
      </x:c>
      <x:c r="L54" s="26" t="str">
        <x:v>2026 industry report with cited underlying source</x:v>
      </x:c>
      <x:c r="M54" s="26" t="str">
        <x:v>Let's Talk Loyalty interview</x:v>
      </x:c>
      <x:c r="N54" s="26" t="str">
        <x:v>The World's Largest Loyalty Programs (2026)</x:v>
      </x:c>
      <x:c r="O54" s="26" t="str">
        <x:v>https://retailtechinnovationhub.squarespace.com/s/Capillary-Edition-WLLP-Approved.pdf</x:v>
      </x:c>
      <x:c r="P54" s="26" t="str"/>
    </x:row>
    <x:row r="55">
      <x:c r="A55" t="n">
        <x:v>52</x:v>
      </x:c>
      <x:c r="B55" s="26" t="str">
        <x:v>Ulta Beauty Rewards</x:v>
      </x:c>
      <x:c r="C55" s="26" t="str">
        <x:v>Ulta Beauty</x:v>
      </x:c>
      <x:c r="D55" s="26" t="str">
        <x:v>Retail &amp; beauty</x:v>
      </x:c>
      <x:c r="E55" s="26" t="str">
        <x:v>United States</x:v>
      </x:c>
      <x:c r="F55" s="28" t="n">
        <x:v>45</x:v>
      </x:c>
      <x:c r="G55" s="26" t="n">
        <x:v>2024</x:v>
      </x:c>
      <x:c r="H55" s="26" t="str">
        <x:v>Active members</x:v>
      </x:c>
      <x:c r="I55" s="26" t="str">
        <x:v>Jan-2025</x:v>
      </x:c>
      <x:c r="J55" s="26" t="str">
        <x:v>Current (≤4 years)</x:v>
      </x:c>
      <x:c r="K55" s="26" t="str">
        <x:v>B</x:v>
      </x:c>
      <x:c r="L55" s="26" t="str">
        <x:v>2026 industry report with cited underlying source</x:v>
      </x:c>
      <x:c r="M55" s="26" t="str">
        <x:v>Ulta Beauty Annual Report, p.6</x:v>
      </x:c>
      <x:c r="N55" s="26" t="str">
        <x:v>The World's Largest Loyalty Programs (2026)</x:v>
      </x:c>
      <x:c r="O55" s="26" t="str">
        <x:v>https://retailtechinnovationhub.squarespace.com/s/Capillary-Edition-WLLP-Approved.pdf</x:v>
      </x:c>
      <x:c r="P55" s="26" t="str"/>
    </x:row>
    <x:row r="56">
      <x:c r="A56" t="n">
        <x:v>53</x:v>
      </x:c>
      <x:c r="B56" s="26" t="str">
        <x:v>Wendy's Rewards</x:v>
      </x:c>
      <x:c r="C56" s="26" t="str">
        <x:v>The Wendy's Company</x:v>
      </x:c>
      <x:c r="D56" s="26" t="str">
        <x:v>Restaurants &amp; QSR</x:v>
      </x:c>
      <x:c r="E56" s="26" t="str">
        <x:v>North America</x:v>
      </x:c>
      <x:c r="F56" s="28" t="n">
        <x:v>42</x:v>
      </x:c>
      <x:c r="G56" s="26" t="n">
        <x:v>2024</x:v>
      </x:c>
      <x:c r="H56" s="26" t="str">
        <x:v>Members</x:v>
      </x:c>
      <x:c r="I56" s="26" t="str">
        <x:v>Aug-2024</x:v>
      </x:c>
      <x:c r="J56" s="26" t="str">
        <x:v>Current (≤4 years)</x:v>
      </x:c>
      <x:c r="K56" s="26" t="str">
        <x:v>C</x:v>
      </x:c>
      <x:c r="L56" s="26" t="str">
        <x:v>2026 industry report with cited underlying source</x:v>
      </x:c>
      <x:c r="M56" s="26" t="str">
        <x:v>CX Dive</x:v>
      </x:c>
      <x:c r="N56" s="26" t="str">
        <x:v>The World's Largest Loyalty Programs (2026)</x:v>
      </x:c>
      <x:c r="O56" s="26" t="str">
        <x:v>https://retailtechinnovationhub.squarespace.com/s/Capillary-Edition-WLLP-Approved.pdf</x:v>
      </x:c>
      <x:c r="P56" s="26" t="str"/>
    </x:row>
    <x:row r="57">
      <x:c r="A57" t="n">
        <x:v>54</x:v>
      </x:c>
      <x:c r="B57" s="26" t="str">
        <x:v>Chipotle Rewards</x:v>
      </x:c>
      <x:c r="C57" s="26" t="str">
        <x:v>Chipotle Mexican Grill</x:v>
      </x:c>
      <x:c r="D57" s="26" t="str">
        <x:v>Restaurants &amp; QSR</x:v>
      </x:c>
      <x:c r="E57" s="26" t="str">
        <x:v>North America</x:v>
      </x:c>
      <x:c r="F57" s="28" t="n">
        <x:v>40</x:v>
      </x:c>
      <x:c r="G57" s="26" t="n">
        <x:v>2024</x:v>
      </x:c>
      <x:c r="H57" s="26" t="str">
        <x:v>Members</x:v>
      </x:c>
      <x:c r="I57" s="26" t="str">
        <x:v>Apr-2024</x:v>
      </x:c>
      <x:c r="J57" s="26" t="str">
        <x:v>Current (≤4 years)</x:v>
      </x:c>
      <x:c r="K57" s="26" t="str">
        <x:v>C</x:v>
      </x:c>
      <x:c r="L57" s="26" t="str">
        <x:v>2026 industry report with cited underlying source</x:v>
      </x:c>
      <x:c r="M57" s="26" t="str">
        <x:v>Hospitality Technology</x:v>
      </x:c>
      <x:c r="N57" s="26" t="str">
        <x:v>The World's Largest Loyalty Programs (2026)</x:v>
      </x:c>
      <x:c r="O57" s="26" t="str">
        <x:v>https://retailtechinnovationhub.squarespace.com/s/Capillary-Edition-WLLP-Approved.pdf</x:v>
      </x:c>
      <x:c r="P57" s="26" t="str"/>
    </x:row>
    <x:row r="58">
      <x:c r="A58" t="n">
        <x:v>55</x:v>
      </x:c>
      <x:c r="B58" s="26" t="str">
        <x:v>Spin Premia</x:v>
      </x:c>
      <x:c r="C58" s="26" t="str">
        <x:v>FEMSA</x:v>
      </x:c>
      <x:c r="D58" s="26" t="str">
        <x:v>Coalition &amp; fintech</x:v>
      </x:c>
      <x:c r="E58" s="26" t="str">
        <x:v>Mexico</x:v>
      </x:c>
      <x:c r="F58" s="28" t="n">
        <x:v>40</x:v>
      </x:c>
      <x:c r="G58" s="26" t="n">
        <x:v>2024</x:v>
      </x:c>
      <x:c r="H58" s="26" t="str">
        <x:v>Users / members</x:v>
      </x:c>
      <x:c r="I58" s="26" t="str">
        <x:v>Mar-2024</x:v>
      </x:c>
      <x:c r="J58" s="26" t="str">
        <x:v>Current (≤4 years)</x:v>
      </x:c>
      <x:c r="K58" s="26" t="str">
        <x:v>C</x:v>
      </x:c>
      <x:c r="L58" s="26" t="str">
        <x:v>2026 industry report with cited underlying source</x:v>
      </x:c>
      <x:c r="M58" s="26" t="str">
        <x:v>The Wise Marketer</x:v>
      </x:c>
      <x:c r="N58" s="26" t="str">
        <x:v>The World's Largest Loyalty Programs (2026)</x:v>
      </x:c>
      <x:c r="O58" s="26" t="str">
        <x:v>https://retailtechinnovationhub.squarespace.com/s/Capillary-Edition-WLLP-Approved.pdf</x:v>
      </x:c>
      <x:c r="P58" s="26" t="str"/>
    </x:row>
    <x:row r="59">
      <x:c r="A59" t="n">
        <x:v>56</x:v>
      </x:c>
      <x:c r="B59" s="26" t="str">
        <x:v>Sephora Beauty Insider</x:v>
      </x:c>
      <x:c r="C59" s="26" t="str">
        <x:v>Sephora / LVMH</x:v>
      </x:c>
      <x:c r="D59" s="26" t="str">
        <x:v>Retail &amp; beauty</x:v>
      </x:c>
      <x:c r="E59" s="26" t="str">
        <x:v>North America / Global</x:v>
      </x:c>
      <x:c r="F59" s="28" t="n">
        <x:v>40</x:v>
      </x:c>
      <x:c r="G59" s="26" t="n">
        <x:v>2024</x:v>
      </x:c>
      <x:c r="H59" s="26" t="str">
        <x:v>Members</x:v>
      </x:c>
      <x:c r="I59" s="26" t="str">
        <x:v>Sep-2024</x:v>
      </x:c>
      <x:c r="J59" s="26" t="str">
        <x:v>Current (≤4 years)</x:v>
      </x:c>
      <x:c r="K59" s="26" t="str">
        <x:v>C</x:v>
      </x:c>
      <x:c r="L59" s="26" t="str">
        <x:v>2026 industry report with cited underlying source</x:v>
      </x:c>
      <x:c r="M59" s="26" t="str">
        <x:v>Modern Retail</x:v>
      </x:c>
      <x:c r="N59" s="26" t="str">
        <x:v>The World's Largest Loyalty Programs (2026)</x:v>
      </x:c>
      <x:c r="O59" s="26" t="str">
        <x:v>https://retailtechinnovationhub.squarespace.com/s/Capillary-Edition-WLLP-Approved.pdf</x:v>
      </x:c>
      <x:c r="P59" s="26" t="str"/>
    </x:row>
    <x:row r="60">
      <x:c r="A60" t="n">
        <x:v>57</x:v>
      </x:c>
      <x:c r="B60" s="26" t="str">
        <x:v>TFG Rewards</x:v>
      </x:c>
      <x:c r="C60" s="26" t="str">
        <x:v>The Foschini Group</x:v>
      </x:c>
      <x:c r="D60" s="26" t="str">
        <x:v>Retail &amp; consumer brands</x:v>
      </x:c>
      <x:c r="E60" s="26" t="str">
        <x:v>Southern Africa</x:v>
      </x:c>
      <x:c r="F60" s="28" t="n">
        <x:v>39</x:v>
      </x:c>
      <x:c r="G60" s="26" t="n">
        <x:v>2025</x:v>
      </x:c>
      <x:c r="H60" s="26" t="str">
        <x:v>Members</x:v>
      </x:c>
      <x:c r="I60" s="26" t="str">
        <x:v>Mar-2025</x:v>
      </x:c>
      <x:c r="J60" s="26" t="str">
        <x:v>Current (≤4 years)</x:v>
      </x:c>
      <x:c r="K60" s="26" t="str">
        <x:v>B</x:v>
      </x:c>
      <x:c r="L60" s="26" t="str">
        <x:v>2026 industry report with cited underlying source</x:v>
      </x:c>
      <x:c r="M60" s="26" t="str">
        <x:v>TFG website</x:v>
      </x:c>
      <x:c r="N60" s="26" t="str">
        <x:v>The World's Largest Loyalty Programs (2026)</x:v>
      </x:c>
      <x:c r="O60" s="26" t="str">
        <x:v>https://retailtechinnovationhub.squarespace.com/s/Capillary-Edition-WLLP-Approved.pdf</x:v>
      </x:c>
      <x:c r="P60" s="26" t="str"/>
    </x:row>
    <x:row r="61">
      <x:c r="A61" t="n">
        <x:v>58</x:v>
      </x:c>
      <x:c r="B61" s="26" t="str">
        <x:v>AARP Member Benefits</x:v>
      </x:c>
      <x:c r="C61" s="26" t="str">
        <x:v>AARP</x:v>
      </x:c>
      <x:c r="D61" s="26" t="str">
        <x:v>Membership &amp; services</x:v>
      </x:c>
      <x:c r="E61" s="26" t="str">
        <x:v>United States</x:v>
      </x:c>
      <x:c r="F61" s="28" t="n">
        <x:v>38</x:v>
      </x:c>
      <x:c r="G61" s="26" t="n">
        <x:v>2025</x:v>
      </x:c>
      <x:c r="H61" s="26" t="str">
        <x:v>Members</x:v>
      </x:c>
      <x:c r="I61" s="26" t="str">
        <x:v>Apr-2025</x:v>
      </x:c>
      <x:c r="J61" s="26" t="str">
        <x:v>Current (≤4 years)</x:v>
      </x:c>
      <x:c r="K61" s="26" t="str">
        <x:v>B</x:v>
      </x:c>
      <x:c r="L61" s="26" t="str">
        <x:v>2026 industry report with cited underlying source</x:v>
      </x:c>
      <x:c r="M61" s="26" t="str">
        <x:v>AARP website</x:v>
      </x:c>
      <x:c r="N61" s="26" t="str">
        <x:v>The World's Largest Loyalty Programs (2026)</x:v>
      </x:c>
      <x:c r="O61" s="26" t="str">
        <x:v>https://retailtechinnovationhub.squarespace.com/s/Capillary-Edition-WLLP-Approved.pdf</x:v>
      </x:c>
      <x:c r="P61" s="26" t="str"/>
    </x:row>
    <x:row r="62">
      <x:c r="A62" t="n">
        <x:v>59</x:v>
      </x:c>
      <x:c r="B62" s="26" t="str">
        <x:v>My Bath &amp; Body Works Rewards</x:v>
      </x:c>
      <x:c r="C62" s="26" t="str">
        <x:v>Bath &amp; Body Works</x:v>
      </x:c>
      <x:c r="D62" s="26" t="str">
        <x:v>Retail &amp; beauty</x:v>
      </x:c>
      <x:c r="E62" s="26" t="str">
        <x:v>United States</x:v>
      </x:c>
      <x:c r="F62" s="28" t="n">
        <x:v>37</x:v>
      </x:c>
      <x:c r="G62" s="26" t="n">
        <x:v>2024</x:v>
      </x:c>
      <x:c r="H62" s="26" t="str">
        <x:v>Members</x:v>
      </x:c>
      <x:c r="I62" s="26" t="str">
        <x:v>Jun-2024</x:v>
      </x:c>
      <x:c r="J62" s="26" t="str">
        <x:v>Current (≤4 years)</x:v>
      </x:c>
      <x:c r="K62" s="26" t="str">
        <x:v>C</x:v>
      </x:c>
      <x:c r="L62" s="26" t="str">
        <x:v>2026 industry report with cited underlying source</x:v>
      </x:c>
      <x:c r="M62" s="26" t="str">
        <x:v>CX Dive</x:v>
      </x:c>
      <x:c r="N62" s="26" t="str">
        <x:v>The World's Largest Loyalty Programs (2026)</x:v>
      </x:c>
      <x:c r="O62" s="26" t="str">
        <x:v>https://retailtechinnovationhub.squarespace.com/s/Capillary-Edition-WLLP-Approved.pdf</x:v>
      </x:c>
      <x:c r="P62" s="26" t="str"/>
    </x:row>
    <x:row r="63">
      <x:c r="A63" t="n">
        <x:v>60</x:v>
      </x:c>
      <x:c r="B63" s="26" t="str">
        <x:v>Emirates Skywards</x:v>
      </x:c>
      <x:c r="C63" s="26" t="str">
        <x:v>Emirates Group</x:v>
      </x:c>
      <x:c r="D63" s="26" t="str">
        <x:v>Airlines</x:v>
      </x:c>
      <x:c r="E63" s="26" t="str">
        <x:v>Global</x:v>
      </x:c>
      <x:c r="F63" s="28" t="n">
        <x:v>37</x:v>
      </x:c>
      <x:c r="G63" s="26" t="n">
        <x:v>2025</x:v>
      </x:c>
      <x:c r="H63" s="26" t="str">
        <x:v>Members</x:v>
      </x:c>
      <x:c r="I63" s="26" t="str">
        <x:v>Sep-2025</x:v>
      </x:c>
      <x:c r="J63" s="26" t="str">
        <x:v>Current (≤4 years)</x:v>
      </x:c>
      <x:c r="K63" s="26" t="str">
        <x:v>B</x:v>
      </x:c>
      <x:c r="L63" s="26" t="str">
        <x:v>2026 industry report with cited underlying source</x:v>
      </x:c>
      <x:c r="M63" s="26" t="str">
        <x:v>Emirates press release</x:v>
      </x:c>
      <x:c r="N63" s="26" t="str">
        <x:v>The World's Largest Loyalty Programs (2026)</x:v>
      </x:c>
      <x:c r="O63" s="26" t="str">
        <x:v>https://retailtechinnovationhub.squarespace.com/s/Capillary-Edition-WLLP-Approved.pdf</x:v>
      </x:c>
      <x:c r="P63" s="26" t="str"/>
    </x:row>
    <x:row r="64">
      <x:c r="A64" t="n">
        <x:v>61</x:v>
      </x:c>
      <x:c r="B64" s="26" t="str">
        <x:v>Gap Good Rewards</x:v>
      </x:c>
      <x:c r="C64" s="26" t="str">
        <x:v>Gap Inc.</x:v>
      </x:c>
      <x:c r="D64" s="26" t="str">
        <x:v>Retail &amp; consumer brands</x:v>
      </x:c>
      <x:c r="E64" s="26" t="str">
        <x:v>United States</x:v>
      </x:c>
      <x:c r="F64" s="28" t="n">
        <x:v>37</x:v>
      </x:c>
      <x:c r="G64" s="26" t="n">
        <x:v>2021</x:v>
      </x:c>
      <x:c r="H64" s="26" t="str">
        <x:v>Members</x:v>
      </x:c>
      <x:c r="I64" s="26" t="str">
        <x:v>Jul-2021</x:v>
      </x:c>
      <x:c r="J64" s="26" t="str">
        <x:v>Older than 4 years</x:v>
      </x:c>
      <x:c r="K64" s="26" t="str">
        <x:v>B</x:v>
      </x:c>
      <x:c r="L64" s="26" t="str">
        <x:v>2026 industry report with cited underlying source</x:v>
      </x:c>
      <x:c r="M64" s="26" t="str">
        <x:v>Gap press release</x:v>
      </x:c>
      <x:c r="N64" s="26" t="str">
        <x:v>The World's Largest Loyalty Programs (2026)</x:v>
      </x:c>
      <x:c r="O64" s="26" t="str">
        <x:v>https://retailtechinnovationhub.squarespace.com/s/Capillary-Edition-WLLP-Approved.pdf</x:v>
      </x:c>
      <x:c r="P64" s="26" t="str">
        <x:v>Disclosure is older than four years.</x:v>
      </x:c>
    </x:row>
    <x:row r="65">
      <x:c r="A65" t="n">
        <x:v>62</x:v>
      </x:c>
      <x:c r="B65" s="26" t="str">
        <x:v>Domino's Rewards</x:v>
      </x:c>
      <x:c r="C65" s="26" t="str">
        <x:v>Domino's Pizza</x:v>
      </x:c>
      <x:c r="D65" s="26" t="str">
        <x:v>Restaurants &amp; QSR</x:v>
      </x:c>
      <x:c r="E65" s="26" t="str">
        <x:v>United States</x:v>
      </x:c>
      <x:c r="F65" s="28" t="n">
        <x:v>36</x:v>
      </x:c>
      <x:c r="G65" s="26" t="n">
        <x:v>2024</x:v>
      </x:c>
      <x:c r="H65" s="26" t="str">
        <x:v>Members</x:v>
      </x:c>
      <x:c r="I65" s="26" t="str">
        <x:v>Dec-2024</x:v>
      </x:c>
      <x:c r="J65" s="26" t="str">
        <x:v>Current (≤4 years)</x:v>
      </x:c>
      <x:c r="K65" s="26" t="str">
        <x:v>B</x:v>
      </x:c>
      <x:c r="L65" s="26" t="str">
        <x:v>2026 industry report with cited underlying source</x:v>
      </x:c>
      <x:c r="M65" s="26" t="str">
        <x:v>Domino's Annual Report, p.4</x:v>
      </x:c>
      <x:c r="N65" s="26" t="str">
        <x:v>The World's Largest Loyalty Programs (2026)</x:v>
      </x:c>
      <x:c r="O65" s="26" t="str">
        <x:v>https://retailtechinnovationhub.squarespace.com/s/Capillary-Edition-WLLP-Approved.pdf</x:v>
      </x:c>
      <x:c r="P65" s="26" t="str"/>
    </x:row>
    <x:row r="66">
      <x:c r="A66" t="n">
        <x:v>63</x:v>
      </x:c>
      <x:c r="B66" s="26" t="str">
        <x:v>Miles &amp; More</x:v>
      </x:c>
      <x:c r="C66" s="26" t="str">
        <x:v>Lufthansa Group</x:v>
      </x:c>
      <x:c r="D66" s="26" t="str">
        <x:v>Airlines</x:v>
      </x:c>
      <x:c r="E66" s="26" t="str">
        <x:v>Global</x:v>
      </x:c>
      <x:c r="F66" s="28" t="n">
        <x:v>36</x:v>
      </x:c>
      <x:c r="G66" s="26" t="n">
        <x:v>2025</x:v>
      </x:c>
      <x:c r="H66" s="26" t="str">
        <x:v>Members</x:v>
      </x:c>
      <x:c r="I66" s="26" t="str">
        <x:v>Sep-2025</x:v>
      </x:c>
      <x:c r="J66" s="26" t="str">
        <x:v>Current (≤4 years)</x:v>
      </x:c>
      <x:c r="K66" s="26" t="str">
        <x:v>B</x:v>
      </x:c>
      <x:c r="L66" s="26" t="str">
        <x:v>2026 industry report with cited underlying source</x:v>
      </x:c>
      <x:c r="M66" s="26" t="str">
        <x:v>Miles &amp; More press release</x:v>
      </x:c>
      <x:c r="N66" s="26" t="str">
        <x:v>The World's Largest Loyalty Programs (2026)</x:v>
      </x:c>
      <x:c r="O66" s="26" t="str">
        <x:v>https://retailtechinnovationhub.squarespace.com/s/Capillary-Edition-WLLP-Approved.pdf</x:v>
      </x:c>
      <x:c r="P66" s="26" t="str"/>
    </x:row>
    <x:row r="67">
      <x:c r="A67" t="n">
        <x:v>64</x:v>
      </x:c>
      <x:c r="B67" s="26" t="str">
        <x:v>AirAsia rewards</x:v>
      </x:c>
      <x:c r="C67" s="26" t="str">
        <x:v>Capital A / AirAsia MOVE</x:v>
      </x:c>
      <x:c r="D67" s="26" t="str">
        <x:v>Airlines &amp; travel</x:v>
      </x:c>
      <x:c r="E67" s="26" t="str">
        <x:v>Asia-Pacific</x:v>
      </x:c>
      <x:c r="F67" s="28" t="n">
        <x:v>36</x:v>
      </x:c>
      <x:c r="G67" s="26" t="n">
        <x:v>2019</x:v>
      </x:c>
      <x:c r="H67" s="26" t="str">
        <x:v>Members</x:v>
      </x:c>
      <x:c r="I67" s="26" t="str">
        <x:v>Jul-2019</x:v>
      </x:c>
      <x:c r="J67" s="26" t="str">
        <x:v>Older than 4 years</x:v>
      </x:c>
      <x:c r="K67" s="26" t="str">
        <x:v>B</x:v>
      </x:c>
      <x:c r="L67" s="26" t="str">
        <x:v>2026 industry report with cited underlying source</x:v>
      </x:c>
      <x:c r="M67" s="26" t="str">
        <x:v>AirAsia press release</x:v>
      </x:c>
      <x:c r="N67" s="26" t="str">
        <x:v>The World's Largest Loyalty Programs (2026)</x:v>
      </x:c>
      <x:c r="O67" s="26" t="str">
        <x:v>https://retailtechinnovationhub.squarespace.com/s/Capillary-Edition-WLLP-Approved.pdf</x:v>
      </x:c>
      <x:c r="P67" s="26" t="str">
        <x:v>Report count relies on an older disclosure; a newer 2022 annual report figure is included separately.</x:v>
      </x:c>
    </x:row>
    <x:row r="68">
      <x:c r="A68" t="n">
        <x:v>65</x:v>
      </x:c>
      <x:c r="B68" s="26" t="str">
        <x:v>PAYBACK Germany</x:v>
      </x:c>
      <x:c r="C68" s="26" t="str">
        <x:v>PAYBACK Group / American Express</x:v>
      </x:c>
      <x:c r="D68" s="26" t="str">
        <x:v>Coalition &amp; points</x:v>
      </x:c>
      <x:c r="E68" s="26" t="str">
        <x:v>Germany</x:v>
      </x:c>
      <x:c r="F68" s="28" t="n">
        <x:v>35</x:v>
      </x:c>
      <x:c r="G68" s="26" t="n">
        <x:v>2025</x:v>
      </x:c>
      <x:c r="H68" s="26" t="str">
        <x:v>Active users</x:v>
      </x:c>
      <x:c r="I68" s="26" t="str">
        <x:v>Sep-2025</x:v>
      </x:c>
      <x:c r="J68" s="26" t="str">
        <x:v>Current (≤4 years)</x:v>
      </x:c>
      <x:c r="K68" s="26" t="str">
        <x:v>B</x:v>
      </x:c>
      <x:c r="L68" s="26" t="str">
        <x:v>2026 industry report with cited underlying source</x:v>
      </x:c>
      <x:c r="M68" s="26" t="str">
        <x:v>PAYBACK press release</x:v>
      </x:c>
      <x:c r="N68" s="26" t="str">
        <x:v>The World's Largest Loyalty Programs (2026)</x:v>
      </x:c>
      <x:c r="O68" s="26" t="str">
        <x:v>https://retailtechinnovationhub.squarespace.com/s/Capillary-Edition-WLLP-Approved.pdf</x:v>
      </x:c>
      <x:c r="P68" s="26" t="str"/>
    </x:row>
    <x:row r="69">
      <x:c r="A69" t="n">
        <x:v>66</x:v>
      </x:c>
      <x:c r="B69" s="26" t="str">
        <x:v>Shell Fuel Rewards</x:v>
      </x:c>
      <x:c r="C69" s="26" t="str">
        <x:v>Shell USA / PDI Technologies</x:v>
      </x:c>
      <x:c r="D69" s="26" t="str">
        <x:v>Fuel &amp; convenience</x:v>
      </x:c>
      <x:c r="E69" s="26" t="str">
        <x:v>United States</x:v>
      </x:c>
      <x:c r="F69" s="28" t="n">
        <x:v>35</x:v>
      </x:c>
      <x:c r="G69" s="26" t="n">
        <x:v>2025</x:v>
      </x:c>
      <x:c r="H69" s="26" t="str">
        <x:v>Members</x:v>
      </x:c>
      <x:c r="I69" s="26" t="str">
        <x:v>Apr-2025</x:v>
      </x:c>
      <x:c r="J69" s="26" t="str">
        <x:v>Current (≤4 years)</x:v>
      </x:c>
      <x:c r="K69" s="26" t="str">
        <x:v>C</x:v>
      </x:c>
      <x:c r="L69" s="26" t="str">
        <x:v>2026 industry report with cited underlying source</x:v>
      </x:c>
      <x:c r="M69" s="26" t="str">
        <x:v>NACS</x:v>
      </x:c>
      <x:c r="N69" s="26" t="str">
        <x:v>The World's Largest Loyalty Programs (2026)</x:v>
      </x:c>
      <x:c r="O69" s="26" t="str">
        <x:v>https://retailtechinnovationhub.squarespace.com/s/Capillary-Edition-WLLP-Approved.pdf</x:v>
      </x:c>
      <x:c r="P69" s="26" t="str"/>
    </x:row>
    <x:row r="70">
      <x:c r="A70" t="n">
        <x:v>67</x:v>
      </x:c>
      <x:c r="B70" s="26" t="str">
        <x:v>Xtra Savings</x:v>
      </x:c>
      <x:c r="C70" s="26" t="str">
        <x:v>Shoprite Holdings</x:v>
      </x:c>
      <x:c r="D70" s="26" t="str">
        <x:v>Retail &amp; grocery</x:v>
      </x:c>
      <x:c r="E70" s="26" t="str">
        <x:v>Southern Africa</x:v>
      </x:c>
      <x:c r="F70" s="28" t="n">
        <x:v>34</x:v>
      </x:c>
      <x:c r="G70" s="26" t="n">
        <x:v>2025</x:v>
      </x:c>
      <x:c r="H70" s="26" t="str">
        <x:v>Members</x:v>
      </x:c>
      <x:c r="I70" s="26" t="str">
        <x:v>Sep-2025</x:v>
      </x:c>
      <x:c r="J70" s="26" t="str">
        <x:v>Current (≤4 years)</x:v>
      </x:c>
      <x:c r="K70" s="26" t="str">
        <x:v>B</x:v>
      </x:c>
      <x:c r="L70" s="26" t="str">
        <x:v>2026 industry report with cited underlying source</x:v>
      </x:c>
      <x:c r="M70" s="26" t="str">
        <x:v>Shoprite press release</x:v>
      </x:c>
      <x:c r="N70" s="26" t="str">
        <x:v>The World's Largest Loyalty Programs (2026)</x:v>
      </x:c>
      <x:c r="O70" s="26" t="str">
        <x:v>https://retailtechinnovationhub.squarespace.com/s/Capillary-Edition-WLLP-Approved.pdf</x:v>
      </x:c>
      <x:c r="P70" s="26" t="str"/>
    </x:row>
    <x:row r="71">
      <x:c r="A71" t="n">
        <x:v>68</x:v>
      </x:c>
      <x:c r="B71" s="26" t="str">
        <x:v>Flying Blue</x:v>
      </x:c>
      <x:c r="C71" s="26" t="str">
        <x:v>Air France-KLM</x:v>
      </x:c>
      <x:c r="D71" s="26" t="str">
        <x:v>Airlines</x:v>
      </x:c>
      <x:c r="E71" s="26" t="str">
        <x:v>Global</x:v>
      </x:c>
      <x:c r="F71" s="28" t="n">
        <x:v>30</x:v>
      </x:c>
      <x:c r="G71" s="26" t="n">
        <x:v>2025</x:v>
      </x:c>
      <x:c r="H71" s="26" t="str">
        <x:v>Members</x:v>
      </x:c>
      <x:c r="I71" s="26" t="str">
        <x:v>Jun-2025</x:v>
      </x:c>
      <x:c r="J71" s="26" t="str">
        <x:v>Current (≤4 years)</x:v>
      </x:c>
      <x:c r="K71" s="26" t="str">
        <x:v>B</x:v>
      </x:c>
      <x:c r="L71" s="26" t="str">
        <x:v>2026 industry report with cited underlying source</x:v>
      </x:c>
      <x:c r="M71" s="26" t="str">
        <x:v>Air France-KLM press release</x:v>
      </x:c>
      <x:c r="N71" s="26" t="str">
        <x:v>The World's Largest Loyalty Programs (2026)</x:v>
      </x:c>
      <x:c r="O71" s="26" t="str">
        <x:v>https://retailtechinnovationhub.squarespace.com/s/Capillary-Edition-WLLP-Approved.pdf</x:v>
      </x:c>
      <x:c r="P71" s="26" t="str"/>
    </x:row>
    <x:row r="72">
      <x:c r="A72" t="n">
        <x:v>69</x:v>
      </x:c>
      <x:c r="B72" s="26" t="str">
        <x:v>Dunkin' Rewards</x:v>
      </x:c>
      <x:c r="C72" s="26" t="str">
        <x:v>Inspire Brands</x:v>
      </x:c>
      <x:c r="D72" s="26" t="str">
        <x:v>Restaurants &amp; QSR</x:v>
      </x:c>
      <x:c r="E72" s="26" t="str">
        <x:v>United States</x:v>
      </x:c>
      <x:c r="F72" s="28" t="n">
        <x:v>30</x:v>
      </x:c>
      <x:c r="G72" s="26" t="n">
        <x:v>2022</x:v>
      </x:c>
      <x:c r="H72" s="26" t="str">
        <x:v>Members</x:v>
      </x:c>
      <x:c r="I72" s="26" t="str">
        <x:v>Oct-2022</x:v>
      </x:c>
      <x:c r="J72" s="26" t="str">
        <x:v>Older than 4 years</x:v>
      </x:c>
      <x:c r="K72" s="26" t="str">
        <x:v>C</x:v>
      </x:c>
      <x:c r="L72" s="26" t="str">
        <x:v>2026 industry report with cited underlying source</x:v>
      </x:c>
      <x:c r="M72" s="26" t="str">
        <x:v>Restaurant Business</x:v>
      </x:c>
      <x:c r="N72" s="26" t="str">
        <x:v>The World's Largest Loyalty Programs (2026)</x:v>
      </x:c>
      <x:c r="O72" s="26" t="str">
        <x:v>https://retailtechinnovationhub.squarespace.com/s/Capillary-Edition-WLLP-Approved.pdf</x:v>
      </x:c>
      <x:c r="P72" s="26" t="str"/>
    </x:row>
    <x:row r="73">
      <x:c r="A73" t="n">
        <x:v>70</x:v>
      </x:c>
      <x:c r="B73" s="26" t="str">
        <x:v>GHA DISCOVERY</x:v>
      </x:c>
      <x:c r="C73" s="26" t="str">
        <x:v>Global Hotel Alliance</x:v>
      </x:c>
      <x:c r="D73" s="26" t="str">
        <x:v>Hotels</x:v>
      </x:c>
      <x:c r="E73" s="26" t="str">
        <x:v>Global</x:v>
      </x:c>
      <x:c r="F73" s="28" t="n">
        <x:v>30</x:v>
      </x:c>
      <x:c r="G73" s="26" t="n">
        <x:v>2025</x:v>
      </x:c>
      <x:c r="H73" s="26" t="str">
        <x:v>Members</x:v>
      </x:c>
      <x:c r="I73" s="26" t="str">
        <x:v>Jul-2025</x:v>
      </x:c>
      <x:c r="J73" s="26" t="str">
        <x:v>Current (≤4 years)</x:v>
      </x:c>
      <x:c r="K73" s="26" t="str">
        <x:v>B</x:v>
      </x:c>
      <x:c r="L73" s="26" t="str">
        <x:v>2026 industry report with cited underlying source</x:v>
      </x:c>
      <x:c r="M73" s="26" t="str">
        <x:v>GHA press release</x:v>
      </x:c>
      <x:c r="N73" s="26" t="str">
        <x:v>The World's Largest Loyalty Programs (2026)</x:v>
      </x:c>
      <x:c r="O73" s="26" t="str">
        <x:v>https://retailtechinnovationhub.squarespace.com/s/Capillary-Edition-WLLP-Approved.pdf</x:v>
      </x:c>
      <x:c r="P73" s="26" t="str"/>
    </x:row>
    <x:row r="74">
      <x:c r="A74" t="n">
        <x:v>71</x:v>
      </x:c>
      <x:c r="B74" s="26" t="str">
        <x:v>JD PLUS</x:v>
      </x:c>
      <x:c r="C74" s="26" t="str">
        <x:v>JD.com</x:v>
      </x:c>
      <x:c r="D74" s="26" t="str">
        <x:v>Paid membership &amp; e-commerce</x:v>
      </x:c>
      <x:c r="E74" s="26" t="str">
        <x:v>China</x:v>
      </x:c>
      <x:c r="F74" s="28" t="n">
        <x:v>30</x:v>
      </x:c>
      <x:c r="G74" s="26" t="n">
        <x:v>2022</x:v>
      </x:c>
      <x:c r="H74" s="26" t="str">
        <x:v>Paid members</x:v>
      </x:c>
      <x:c r="I74" s="26" t="str">
        <x:v>Aug-2022</x:v>
      </x:c>
      <x:c r="J74" s="26" t="str">
        <x:v>Older than 4 years</x:v>
      </x:c>
      <x:c r="K74" s="26" t="str">
        <x:v>B</x:v>
      </x:c>
      <x:c r="L74" s="26" t="str">
        <x:v>2026 industry report with cited underlying source</x:v>
      </x:c>
      <x:c r="M74" s="26" t="str">
        <x:v>JD.com blog</x:v>
      </x:c>
      <x:c r="N74" s="26" t="str">
        <x:v>The World's Largest Loyalty Programs (2026)</x:v>
      </x:c>
      <x:c r="O74" s="26" t="str">
        <x:v>https://retailtechinnovationhub.squarespace.com/s/Capillary-Edition-WLLP-Approved.pdf</x:v>
      </x:c>
      <x:c r="P74" s="26" t="str"/>
    </x:row>
    <x:row r="75">
      <x:c r="A75" t="n">
        <x:v>72</x:v>
      </x:c>
      <x:c r="B75" s="26" t="str">
        <x:v>MyLowe's Rewards &amp; MVPs Pro Rewards</x:v>
      </x:c>
      <x:c r="C75" s="26" t="str">
        <x:v>Lowe's Companies</x:v>
      </x:c>
      <x:c r="D75" s="26" t="str">
        <x:v>Retail &amp; home improvement</x:v>
      </x:c>
      <x:c r="E75" s="26" t="str">
        <x:v>United States</x:v>
      </x:c>
      <x:c r="F75" s="28" t="n">
        <x:v>30</x:v>
      </x:c>
      <x:c r="G75" s="26" t="n">
        <x:v>2025</x:v>
      </x:c>
      <x:c r="H75" s="26" t="str">
        <x:v>Members</x:v>
      </x:c>
      <x:c r="I75" s="26" t="str">
        <x:v>May-2025</x:v>
      </x:c>
      <x:c r="J75" s="26" t="str">
        <x:v>Current (≤4 years)</x:v>
      </x:c>
      <x:c r="K75" s="26" t="str">
        <x:v>B</x:v>
      </x:c>
      <x:c r="L75" s="26" t="str">
        <x:v>2026 industry report with cited underlying source</x:v>
      </x:c>
      <x:c r="M75" s="26" t="str">
        <x:v>Lowe's Annual Report, p.4</x:v>
      </x:c>
      <x:c r="N75" s="26" t="str">
        <x:v>The World's Largest Loyalty Programs (2026)</x:v>
      </x:c>
      <x:c r="O75" s="26" t="str">
        <x:v>https://retailtechinnovationhub.squarespace.com/s/Capillary-Edition-WLLP-Approved.pdf</x:v>
      </x:c>
      <x:c r="P75" s="26" t="str"/>
    </x:row>
    <x:row r="76">
      <x:c r="A76" t="n">
        <x:v>73</x:v>
      </x:c>
      <x:c r="B76" s="26" t="str">
        <x:v>Subway MVP Rewards</x:v>
      </x:c>
      <x:c r="C76" s="26" t="str">
        <x:v>Subway</x:v>
      </x:c>
      <x:c r="D76" s="26" t="str">
        <x:v>Restaurants &amp; QSR</x:v>
      </x:c>
      <x:c r="E76" s="26" t="str">
        <x:v>North America</x:v>
      </x:c>
      <x:c r="F76" s="28" t="n">
        <x:v>30</x:v>
      </x:c>
      <x:c r="G76" s="26" t="n">
        <x:v>2023</x:v>
      </x:c>
      <x:c r="H76" s="26" t="str">
        <x:v>Members</x:v>
      </x:c>
      <x:c r="I76" s="26" t="str">
        <x:v>Sep-2023</x:v>
      </x:c>
      <x:c r="J76" s="26" t="str">
        <x:v>Current (≤4 years)</x:v>
      </x:c>
      <x:c r="K76" s="26" t="str">
        <x:v>B</x:v>
      </x:c>
      <x:c r="L76" s="26" t="str">
        <x:v>2026 industry report with cited underlying source</x:v>
      </x:c>
      <x:c r="M76" s="26" t="str">
        <x:v>Subway press release</x:v>
      </x:c>
      <x:c r="N76" s="26" t="str">
        <x:v>The World's Largest Loyalty Programs (2026)</x:v>
      </x:c>
      <x:c r="O76" s="26" t="str">
        <x:v>https://retailtechinnovationhub.squarespace.com/s/Capillary-Edition-WLLP-Approved.pdf</x:v>
      </x:c>
      <x:c r="P76" s="26" t="str"/>
    </x:row>
    <x:row r="77">
      <x:c r="A77" t="n">
        <x:v>74</x:v>
      </x:c>
      <x:c r="B77" s="26" t="str">
        <x:v>Ahold Delhaize USA loyalty programs</x:v>
      </x:c>
      <x:c r="C77" s="26" t="str">
        <x:v>Ahold Delhaize</x:v>
      </x:c>
      <x:c r="D77" s="26" t="str">
        <x:v>Retail &amp; grocery</x:v>
      </x:c>
      <x:c r="E77" s="26" t="str">
        <x:v>United States</x:v>
      </x:c>
      <x:c r="F77" s="28" t="n">
        <x:v>29</x:v>
      </x:c>
      <x:c r="G77" s="26" t="n">
        <x:v>2024</x:v>
      </x:c>
      <x:c r="H77" s="26" t="str">
        <x:v>Combined loyalty households / members</x:v>
      </x:c>
      <x:c r="I77" s="26" t="str">
        <x:v>Oct-2024</x:v>
      </x:c>
      <x:c r="J77" s="26" t="str">
        <x:v>Current (≤4 years)</x:v>
      </x:c>
      <x:c r="K77" s="26" t="str">
        <x:v>B</x:v>
      </x:c>
      <x:c r="L77" s="26" t="str">
        <x:v>2026 industry report with cited underlying source</x:v>
      </x:c>
      <x:c r="M77" s="26" t="str">
        <x:v>Ahold Delhaize Annual Report, pp.45–46</x:v>
      </x:c>
      <x:c r="N77" s="26" t="str">
        <x:v>The World's Largest Loyalty Programs (2026)</x:v>
      </x:c>
      <x:c r="O77" s="26" t="str">
        <x:v>https://retailtechinnovationhub.squarespace.com/s/Capillary-Edition-WLLP-Approved.pdf</x:v>
      </x:c>
      <x:c r="P77" s="26" t="str"/>
    </x:row>
    <x:row r="78">
      <x:c r="A78" t="n">
        <x:v>75</x:v>
      </x:c>
      <x:c r="B78" s="26" t="str">
        <x:v>Nectar</x:v>
      </x:c>
      <x:c r="C78" s="26" t="str">
        <x:v>J Sainsbury plc</x:v>
      </x:c>
      <x:c r="D78" s="26" t="str">
        <x:v>Coalition &amp; points</x:v>
      </x:c>
      <x:c r="E78" s="26" t="str">
        <x:v>United Kingdom</x:v>
      </x:c>
      <x:c r="F78" s="28" t="n">
        <x:v>27</x:v>
      </x:c>
      <x:c r="G78" s="26" t="n">
        <x:v>2025</x:v>
      </x:c>
      <x:c r="H78" s="26" t="str">
        <x:v>Members</x:v>
      </x:c>
      <x:c r="I78" s="26" t="str">
        <x:v>Oct-2025</x:v>
      </x:c>
      <x:c r="J78" s="26" t="str">
        <x:v>Current (≤4 years)</x:v>
      </x:c>
      <x:c r="K78" s="26" t="str">
        <x:v>B</x:v>
      </x:c>
      <x:c r="L78" s="26" t="str">
        <x:v>2026 industry report with cited underlying source</x:v>
      </x:c>
      <x:c r="M78" s="26" t="str">
        <x:v>Nectar website</x:v>
      </x:c>
      <x:c r="N78" s="26" t="str">
        <x:v>The World's Largest Loyalty Programs (2026)</x:v>
      </x:c>
      <x:c r="O78" s="26" t="str">
        <x:v>https://retailtechinnovationhub.squarespace.com/s/Capillary-Edition-WLLP-Approved.pdf</x:v>
      </x:c>
      <x:c r="P78" s="26" t="str"/>
    </x:row>
    <x:row r="79">
      <x:c r="A79" t="n">
        <x:v>76</x:v>
      </x:c>
      <x:c r="B79" s="26" t="str">
        <x:v>Vodabucks</x:v>
      </x:c>
      <x:c r="C79" s="26" t="str">
        <x:v>Vodacom Group</x:v>
      </x:c>
      <x:c r="D79" s="26" t="str">
        <x:v>Telecom</x:v>
      </x:c>
      <x:c r="E79" s="26" t="str">
        <x:v>South Africa</x:v>
      </x:c>
      <x:c r="F79" s="28" t="n">
        <x:v>27</x:v>
      </x:c>
      <x:c r="G79" s="26" t="n">
        <x:v>2021</x:v>
      </x:c>
      <x:c r="H79" s="26" t="str">
        <x:v>Members</x:v>
      </x:c>
      <x:c r="I79" s="26" t="str">
        <x:v>Oct-2021</x:v>
      </x:c>
      <x:c r="J79" s="26" t="str">
        <x:v>Older than 4 years</x:v>
      </x:c>
      <x:c r="K79" s="26" t="str">
        <x:v>C</x:v>
      </x:c>
      <x:c r="L79" s="26" t="str">
        <x:v>2026 industry report with cited underlying source</x:v>
      </x:c>
      <x:c r="M79" s="26" t="str">
        <x:v>Company/trade article</x:v>
      </x:c>
      <x:c r="N79" s="26" t="str">
        <x:v>The World's Largest Loyalty Programs (2026)</x:v>
      </x:c>
      <x:c r="O79" s="26" t="str">
        <x:v>https://retailtechinnovationhub.squarespace.com/s/Capillary-Edition-WLLP-Approved.pdf</x:v>
      </x:c>
      <x:c r="P79" s="26" t="str">
        <x:v>Disclosure is older than four years.</x:v>
      </x:c>
    </x:row>
    <x:row r="80">
      <x:c r="A80" t="n">
        <x:v>77</x:v>
      </x:c>
      <x:c r="B80" s="26" t="str">
        <x:v>ScoreCard</x:v>
      </x:c>
      <x:c r="C80" s="26" t="str">
        <x:v>DICK'S Sporting Goods</x:v>
      </x:c>
      <x:c r="D80" s="26" t="str">
        <x:v>Retail &amp; consumer brands</x:v>
      </x:c>
      <x:c r="E80" s="26" t="str">
        <x:v>United States</x:v>
      </x:c>
      <x:c r="F80" s="28" t="n">
        <x:v>25</x:v>
      </x:c>
      <x:c r="G80" s="26" t="n">
        <x:v>2024</x:v>
      </x:c>
      <x:c r="H80" s="26" t="str">
        <x:v>Members</x:v>
      </x:c>
      <x:c r="I80" s="26" t="str">
        <x:v>Dec-2024</x:v>
      </x:c>
      <x:c r="J80" s="26" t="str">
        <x:v>Current (≤4 years)</x:v>
      </x:c>
      <x:c r="K80" s="26" t="str">
        <x:v>B</x:v>
      </x:c>
      <x:c r="L80" s="26" t="str">
        <x:v>2026 industry report with cited underlying source</x:v>
      </x:c>
      <x:c r="M80" s="26" t="str">
        <x:v>DICK'S Annual Report, p.12</x:v>
      </x:c>
      <x:c r="N80" s="26" t="str">
        <x:v>The World's Largest Loyalty Programs (2026)</x:v>
      </x:c>
      <x:c r="O80" s="26" t="str">
        <x:v>https://retailtechinnovationhub.squarespace.com/s/Capillary-Edition-WLLP-Approved.pdf</x:v>
      </x:c>
      <x:c r="P80" s="26" t="str"/>
    </x:row>
    <x:row r="81">
      <x:c r="A81" t="n">
        <x:v>78</x:v>
      </x:c>
      <x:c r="B81" s="26" t="str">
        <x:v>REI Co-op Membership</x:v>
      </x:c>
      <x:c r="C81" s="26" t="str">
        <x:v>REI Co-op</x:v>
      </x:c>
      <x:c r="D81" s="26" t="str">
        <x:v>Membership &amp; services</x:v>
      </x:c>
      <x:c r="E81" s="26" t="str">
        <x:v>United States</x:v>
      </x:c>
      <x:c r="F81" s="28" t="n">
        <x:v>25</x:v>
      </x:c>
      <x:c r="G81" s="26" t="n">
        <x:v>2025</x:v>
      </x:c>
      <x:c r="H81" s="26" t="str">
        <x:v>Members</x:v>
      </x:c>
      <x:c r="I81" s="26" t="str">
        <x:v>Sep-2025</x:v>
      </x:c>
      <x:c r="J81" s="26" t="str">
        <x:v>Current (≤4 years)</x:v>
      </x:c>
      <x:c r="K81" s="26" t="str">
        <x:v>B</x:v>
      </x:c>
      <x:c r="L81" s="26" t="str">
        <x:v>2026 industry report with cited underlying source</x:v>
      </x:c>
      <x:c r="M81" s="26" t="str">
        <x:v>REI press release</x:v>
      </x:c>
      <x:c r="N81" s="26" t="str">
        <x:v>The World's Largest Loyalty Programs (2026)</x:v>
      </x:c>
      <x:c r="O81" s="26" t="str">
        <x:v>https://retailtechinnovationhub.squarespace.com/s/Capillary-Edition-WLLP-Approved.pdf</x:v>
      </x:c>
      <x:c r="P81" s="26" t="str"/>
    </x:row>
    <x:row r="82">
      <x:c r="A82" t="n">
        <x:v>79</x:v>
      </x:c>
      <x:c r="B82" s="26" t="str">
        <x:v>Tesco Clubcard</x:v>
      </x:c>
      <x:c r="C82" s="26" t="str">
        <x:v>Tesco</x:v>
      </x:c>
      <x:c r="D82" s="26" t="str">
        <x:v>Retail &amp; grocery</x:v>
      </x:c>
      <x:c r="E82" s="26" t="str">
        <x:v>United Kingdom</x:v>
      </x:c>
      <x:c r="F82" s="28" t="n">
        <x:v>24</x:v>
      </x:c>
      <x:c r="G82" s="26" t="n">
        <x:v>2025</x:v>
      </x:c>
      <x:c r="H82" s="26" t="str">
        <x:v>Households with Clubcard</x:v>
      </x:c>
      <x:c r="I82" s="26" t="str">
        <x:v>Oct-2025</x:v>
      </x:c>
      <x:c r="J82" s="26" t="str">
        <x:v>Current (≤4 years)</x:v>
      </x:c>
      <x:c r="K82" s="26" t="str">
        <x:v>B</x:v>
      </x:c>
      <x:c r="L82" s="26" t="str">
        <x:v>2026 industry report with cited underlying source</x:v>
      </x:c>
      <x:c r="M82" s="26" t="str">
        <x:v>Tesco interim results / Clubcard release</x:v>
      </x:c>
      <x:c r="N82" s="26" t="str">
        <x:v>The World's Largest Loyalty Programs (2026)</x:v>
      </x:c>
      <x:c r="O82" s="26" t="str">
        <x:v>https://retailtechinnovationhub.squarespace.com/s/Capillary-Edition-WLLP-Approved.pdf</x:v>
      </x:c>
      <x:c r="P82" s="26" t="str"/>
    </x:row>
    <x:row r="83">
      <x:c r="A83" t="n">
        <x:v>80</x:v>
      </x:c>
      <x:c r="B83" s="26" t="str">
        <x:v>Flipkart Plus</x:v>
      </x:c>
      <x:c r="C83" s="26" t="str">
        <x:v>Flipkart / Walmart</x:v>
      </x:c>
      <x:c r="D83" s="26" t="str">
        <x:v>Paid membership &amp; e-commerce</x:v>
      </x:c>
      <x:c r="E83" s="26" t="str">
        <x:v>India</x:v>
      </x:c>
      <x:c r="F83" s="28" t="n">
        <x:v>20</x:v>
      </x:c>
      <x:c r="G83" s="26" t="n">
        <x:v>2021</x:v>
      </x:c>
      <x:c r="H83" s="26" t="str">
        <x:v>Members</x:v>
      </x:c>
      <x:c r="I83" s="26" t="str">
        <x:v>Aug-2021</x:v>
      </x:c>
      <x:c r="J83" s="26" t="str">
        <x:v>Older than 4 years</x:v>
      </x:c>
      <x:c r="K83" s="26" t="str">
        <x:v>C</x:v>
      </x:c>
      <x:c r="L83" s="26" t="str">
        <x:v>2026 industry report with cited underlying source</x:v>
      </x:c>
      <x:c r="M83" s="26" t="str">
        <x:v>Business Standard</x:v>
      </x:c>
      <x:c r="N83" s="26" t="str">
        <x:v>The World's Largest Loyalty Programs (2026)</x:v>
      </x:c>
      <x:c r="O83" s="26" t="str">
        <x:v>https://retailtechinnovationhub.squarespace.com/s/Capillary-Edition-WLLP-Approved.pdf</x:v>
      </x:c>
      <x:c r="P83" s="26" t="str">
        <x:v>Disclosure is older than four years.</x:v>
      </x:c>
    </x:row>
    <x:row r="84">
      <x:c r="A84" t="n">
        <x:v>81</x:v>
      </x:c>
      <x:c r="B84" s="26" t="str">
        <x:v>M&amp;S Sparks</x:v>
      </x:c>
      <x:c r="C84" s="26" t="str">
        <x:v>Marks &amp; Spencer</x:v>
      </x:c>
      <x:c r="D84" s="26" t="str">
        <x:v>Retail &amp; grocery</x:v>
      </x:c>
      <x:c r="E84" s="26" t="str">
        <x:v>United Kingdom</x:v>
      </x:c>
      <x:c r="F84" s="28" t="n">
        <x:v>20</x:v>
      </x:c>
      <x:c r="G84" s="26" t="n">
        <x:v>2025</x:v>
      </x:c>
      <x:c r="H84" s="26" t="str">
        <x:v>Members</x:v>
      </x:c>
      <x:c r="I84" s="26" t="str">
        <x:v>Oct-2025</x:v>
      </x:c>
      <x:c r="J84" s="26" t="str">
        <x:v>Current (≤4 years)</x:v>
      </x:c>
      <x:c r="K84" s="26" t="str">
        <x:v>C</x:v>
      </x:c>
      <x:c r="L84" s="26" t="str">
        <x:v>2026 industry report with cited underlying source</x:v>
      </x:c>
      <x:c r="M84" s="26" t="str">
        <x:v>M&amp;S LinkedIn / company disclosure</x:v>
      </x:c>
      <x:c r="N84" s="26" t="str">
        <x:v>The World's Largest Loyalty Programs (2026)</x:v>
      </x:c>
      <x:c r="O84" s="26" t="str">
        <x:v>https://retailtechinnovationhub.squarespace.com/s/Capillary-Edition-WLLP-Approved.pdf</x:v>
      </x:c>
      <x:c r="P84" s="26" t="str"/>
    </x:row>
    <x:row r="85">
      <x:c r="A85" t="n">
        <x:v>82</x:v>
      </x:c>
      <x:c r="B85" s="26" t="str">
        <x:v>XPLR Pass</x:v>
      </x:c>
      <x:c r="C85" s="26" t="str">
        <x:v>The North Face / VF Corporation</x:v>
      </x:c>
      <x:c r="D85" s="26" t="str">
        <x:v>Retail &amp; consumer brands</x:v>
      </x:c>
      <x:c r="E85" s="26" t="str">
        <x:v>North America</x:v>
      </x:c>
      <x:c r="F85" s="28" t="n">
        <x:v>20</x:v>
      </x:c>
      <x:c r="G85" s="26" t="n">
        <x:v>2023</x:v>
      </x:c>
      <x:c r="H85" s="26" t="str">
        <x:v>Members</x:v>
      </x:c>
      <x:c r="I85" s="26" t="str">
        <x:v>Dec-2023</x:v>
      </x:c>
      <x:c r="J85" s="26" t="str">
        <x:v>Current (≤4 years)</x:v>
      </x:c>
      <x:c r="K85" s="26" t="str">
        <x:v>C</x:v>
      </x:c>
      <x:c r="L85" s="26" t="str">
        <x:v>2026 industry report with cited underlying source</x:v>
      </x:c>
      <x:c r="M85" s="26" t="str">
        <x:v>Let's Talk Loyalty interview</x:v>
      </x:c>
      <x:c r="N85" s="26" t="str">
        <x:v>The World's Largest Loyalty Programs (2026)</x:v>
      </x:c>
      <x:c r="O85" s="26" t="str">
        <x:v>https://retailtechinnovationhub.squarespace.com/s/Capillary-Edition-WLLP-Approved.pdf</x:v>
      </x:c>
      <x:c r="P85" s="26" t="str"/>
    </x:row>
    <x:row r="86">
      <x:c r="A86" t="n">
        <x:v>83</x:v>
      </x:c>
      <x:c r="B86" s="26" t="str">
        <x:v>Miles&amp;Smiles</x:v>
      </x:c>
      <x:c r="C86" s="26" t="str">
        <x:v>Turkish Airlines</x:v>
      </x:c>
      <x:c r="D86" s="26" t="str">
        <x:v>Airlines</x:v>
      </x:c>
      <x:c r="E86" s="26" t="str">
        <x:v>Global</x:v>
      </x:c>
      <x:c r="F86" s="28" t="n">
        <x:v>20</x:v>
      </x:c>
      <x:c r="G86" s="26" t="n">
        <x:v>2024</x:v>
      </x:c>
      <x:c r="H86" s="26" t="str">
        <x:v>Members</x:v>
      </x:c>
      <x:c r="I86" s="26" t="str">
        <x:v>Sep-2024</x:v>
      </x:c>
      <x:c r="J86" s="26" t="str">
        <x:v>Current (≤4 years)</x:v>
      </x:c>
      <x:c r="K86" s="26" t="str">
        <x:v>C</x:v>
      </x:c>
      <x:c r="L86" s="26" t="str">
        <x:v>2026 industry report with cited underlying source</x:v>
      </x:c>
      <x:c r="M86" s="26" t="str">
        <x:v>Australian Loyalty Association</x:v>
      </x:c>
      <x:c r="N86" s="26" t="str">
        <x:v>The World's Largest Loyalty Programs (2026)</x:v>
      </x:c>
      <x:c r="O86" s="26" t="str">
        <x:v>https://retailtechinnovationhub.squarespace.com/s/Capillary-Edition-WLLP-Approved.pdf</x:v>
      </x:c>
      <x:c r="P86" s="26" t="str"/>
    </x:row>
    <x:row r="87">
      <x:c r="A87" t="n">
        <x:v>84</x:v>
      </x:c>
      <x:c r="B87" s="26" t="str">
        <x:v>Azul Fidelidade</x:v>
      </x:c>
      <x:c r="C87" s="26" t="str">
        <x:v>Azul S.A.</x:v>
      </x:c>
      <x:c r="D87" s="26" t="str">
        <x:v>Airlines</x:v>
      </x:c>
      <x:c r="E87" s="26" t="str">
        <x:v>Brazil / Global</x:v>
      </x:c>
      <x:c r="F87" s="28" t="n">
        <x:v>19</x:v>
      </x:c>
      <x:c r="G87" s="26" t="n">
        <x:v>2025</x:v>
      </x:c>
      <x:c r="H87" s="26" t="str">
        <x:v>Members</x:v>
      </x:c>
      <x:c r="I87" s="26" t="str">
        <x:v>May-2025</x:v>
      </x:c>
      <x:c r="J87" s="26" t="str">
        <x:v>Current (≤4 years)</x:v>
      </x:c>
      <x:c r="K87" s="26" t="str">
        <x:v>B</x:v>
      </x:c>
      <x:c r="L87" s="26" t="str">
        <x:v>2026 industry report with cited underlying source</x:v>
      </x:c>
      <x:c r="M87" s="26" t="str">
        <x:v>Azul Annual Report, p.2</x:v>
      </x:c>
      <x:c r="N87" s="26" t="str">
        <x:v>The World's Largest Loyalty Programs (2026)</x:v>
      </x:c>
      <x:c r="O87" s="26" t="str">
        <x:v>https://retailtechinnovationhub.squarespace.com/s/Capillary-Edition-WLLP-Approved.pdf</x:v>
      </x:c>
      <x:c r="P87" s="26" t="str"/>
    </x:row>
    <x:row r="88">
      <x:c r="A88" t="n">
        <x:v>85</x:v>
      </x:c>
      <x:c r="B88" s="26" t="str">
        <x:v>Qantas Frequent Flyer</x:v>
      </x:c>
      <x:c r="C88" s="26" t="str">
        <x:v>Qantas Airways</x:v>
      </x:c>
      <x:c r="D88" s="26" t="str">
        <x:v>Airlines</x:v>
      </x:c>
      <x:c r="E88" s="26" t="str">
        <x:v>Australia / Global</x:v>
      </x:c>
      <x:c r="F88" s="28" t="n">
        <x:v>18</x:v>
      </x:c>
      <x:c r="G88" s="26" t="n">
        <x:v>2025</x:v>
      </x:c>
      <x:c r="H88" s="26" t="str">
        <x:v>Members</x:v>
      </x:c>
      <x:c r="I88" s="26" t="str">
        <x:v>Aug-2025</x:v>
      </x:c>
      <x:c r="J88" s="26" t="str">
        <x:v>Current (≤4 years)</x:v>
      </x:c>
      <x:c r="K88" s="26" t="str">
        <x:v>B</x:v>
      </x:c>
      <x:c r="L88" s="26" t="str">
        <x:v>2026 industry report with cited underlying source</x:v>
      </x:c>
      <x:c r="M88" s="26" t="str">
        <x:v>Qantas Annual Report, p.26</x:v>
      </x:c>
      <x:c r="N88" s="26" t="str">
        <x:v>The World's Largest Loyalty Programs (2026)</x:v>
      </x:c>
      <x:c r="O88" s="26" t="str">
        <x:v>https://retailtechinnovationhub.squarespace.com/s/Capillary-Edition-WLLP-Approved.pdf</x:v>
      </x:c>
      <x:c r="P88" s="26" t="str"/>
    </x:row>
    <x:row r="89">
      <x:c r="A89" t="n">
        <x:v>86</x:v>
      </x:c>
      <x:c r="B89" s="26" t="str">
        <x:v>Boots Advantage Card</x:v>
      </x:c>
      <x:c r="C89" s="26" t="str">
        <x:v>Walgreens Boots Alliance</x:v>
      </x:c>
      <x:c r="D89" s="26" t="str">
        <x:v>Retail &amp; pharmacy</x:v>
      </x:c>
      <x:c r="E89" s="26" t="str">
        <x:v>United Kingdom / Ireland</x:v>
      </x:c>
      <x:c r="F89" s="28" t="n">
        <x:v>17</x:v>
      </x:c>
      <x:c r="G89" s="26" t="n">
        <x:v>2025</x:v>
      </x:c>
      <x:c r="H89" s="26" t="str">
        <x:v>Members</x:v>
      </x:c>
      <x:c r="I89" s="26" t="str">
        <x:v>Jul-2025</x:v>
      </x:c>
      <x:c r="J89" s="26" t="str">
        <x:v>Current (≤4 years)</x:v>
      </x:c>
      <x:c r="K89" s="26" t="str">
        <x:v>B</x:v>
      </x:c>
      <x:c r="L89" s="26" t="str">
        <x:v>2026 industry report with cited underlying source</x:v>
      </x:c>
      <x:c r="M89" s="26" t="str">
        <x:v>Boots press release</x:v>
      </x:c>
      <x:c r="N89" s="26" t="str">
        <x:v>The World's Largest Loyalty Programs (2026)</x:v>
      </x:c>
      <x:c r="O89" s="26" t="str">
        <x:v>https://retailtechinnovationhub.squarespace.com/s/Capillary-Edition-WLLP-Approved.pdf</x:v>
      </x:c>
      <x:c r="P89" s="26" t="str"/>
    </x:row>
    <x:row r="90">
      <x:c r="A90" t="n">
        <x:v>87</x:v>
      </x:c>
      <x:c r="B90" s="26" t="str">
        <x:v>Aeroflot Bonus</x:v>
      </x:c>
      <x:c r="C90" s="26" t="str">
        <x:v>Aeroflot Group</x:v>
      </x:c>
      <x:c r="D90" s="26" t="str">
        <x:v>Airlines</x:v>
      </x:c>
      <x:c r="E90" s="26" t="str">
        <x:v>Russia / Global</x:v>
      </x:c>
      <x:c r="F90" s="28" t="n">
        <x:v>12.4</x:v>
      </x:c>
      <x:c r="G90" s="26" t="n">
        <x:v>2023</x:v>
      </x:c>
      <x:c r="H90" s="26" t="str">
        <x:v>Members</x:v>
      </x:c>
      <x:c r="I90" s="26" t="str">
        <x:v>2024</x:v>
      </x:c>
      <x:c r="J90" s="26" t="str">
        <x:v>Current (≤4 years)</x:v>
      </x:c>
      <x:c r="K90" s="26" t="str">
        <x:v>B</x:v>
      </x:c>
      <x:c r="L90" s="26" t="str">
        <x:v>2024 airline industry report with cited underlying source</x:v>
      </x:c>
      <x:c r="M90" s="26" t="str">
        <x:v>Aeroflot Annual Report 2023</x:v>
      </x:c>
      <x:c r="N90" s="26" t="str">
        <x:v>2024 Big Book of Airline Data</x:v>
      </x:c>
      <x:c r="O90" s="26" t="str">
        <x:v>https://ideaworkscompany.com/wp-content/uploads/2024/12/2024-Big-Book-of-Airline-Data-by-IdeaWorks-1.2.pdf</x:v>
      </x:c>
      <x:c r="P90" s="26" t="str"/>
    </x:row>
    <x:row r="91">
      <x:c r="A91" t="n">
        <x:v>88</x:v>
      </x:c>
      <x:c r="B91" s="26" t="str">
        <x:v>Aerolíneas Plus</x:v>
      </x:c>
      <x:c r="C91" s="26" t="str">
        <x:v>Aerolíneas Argentinas</x:v>
      </x:c>
      <x:c r="D91" s="26" t="str">
        <x:v>Airlines</x:v>
      </x:c>
      <x:c r="E91" s="26" t="str">
        <x:v>Argentina / Global</x:v>
      </x:c>
      <x:c r="F91" s="28" t="n">
        <x:v>3</x:v>
      </x:c>
      <x:c r="G91" s="26" t="n">
        <x:v>2023</x:v>
      </x:c>
      <x:c r="H91" s="26" t="str">
        <x:v>Members</x:v>
      </x:c>
      <x:c r="I91" s="26" t="str">
        <x:v>2023</x:v>
      </x:c>
      <x:c r="J91" s="26" t="str">
        <x:v>Current (≤4 years)</x:v>
      </x:c>
      <x:c r="K91" s="26" t="str">
        <x:v>B</x:v>
      </x:c>
      <x:c r="L91" s="26" t="str">
        <x:v>2024 airline industry report with cited underlying source</x:v>
      </x:c>
      <x:c r="M91" s="26" t="str">
        <x:v>Airline website disclosure</x:v>
      </x:c>
      <x:c r="N91" s="26" t="str">
        <x:v>2024 Big Book of Airline Data</x:v>
      </x:c>
      <x:c r="O91" s="26" t="str">
        <x:v>https://ideaworkscompany.com/wp-content/uploads/2024/12/2024-Big-Book-of-Airline-Data-by-IdeaWorks-1.2.pdf</x:v>
      </x:c>
      <x:c r="P91" s="26" t="str"/>
    </x:row>
    <x:row r="92">
      <x:c r="A92" t="n">
        <x:v>89</x:v>
      </x:c>
      <x:c r="B92" s="26" t="str">
        <x:v>Aeroméxico Rewards</x:v>
      </x:c>
      <x:c r="C92" s="26" t="str">
        <x:v>Grupo Aeroméxico</x:v>
      </x:c>
      <x:c r="D92" s="26" t="str">
        <x:v>Airlines</x:v>
      </x:c>
      <x:c r="E92" s="26" t="str">
        <x:v>Mexico / Global</x:v>
      </x:c>
      <x:c r="F92" s="28" t="n">
        <x:v>10</x:v>
      </x:c>
      <x:c r="G92" s="26" t="n">
        <x:v>2024</x:v>
      </x:c>
      <x:c r="H92" s="26" t="str">
        <x:v>Members</x:v>
      </x:c>
      <x:c r="I92" s="26" t="str">
        <x:v>2024</x:v>
      </x:c>
      <x:c r="J92" s="26" t="str">
        <x:v>Current (≤4 years)</x:v>
      </x:c>
      <x:c r="K92" s="26" t="str">
        <x:v>B</x:v>
      </x:c>
      <x:c r="L92" s="26" t="str">
        <x:v>2024 airline industry report with cited underlying source</x:v>
      </x:c>
      <x:c r="M92" s="26" t="str">
        <x:v>Aeroméxico 2024 IPO filing</x:v>
      </x:c>
      <x:c r="N92" s="26" t="str">
        <x:v>2024 Big Book of Airline Data</x:v>
      </x:c>
      <x:c r="O92" s="26" t="str">
        <x:v>https://ideaworkscompany.com/wp-content/uploads/2024/12/2024-Big-Book-of-Airline-Data-by-IdeaWorks-1.2.pdf</x:v>
      </x:c>
      <x:c r="P92" s="26" t="str"/>
    </x:row>
    <x:row r="93">
      <x:c r="A93" t="n">
        <x:v>90</x:v>
      </x:c>
      <x:c r="B93" s="26" t="str">
        <x:v>Nomad Club</x:v>
      </x:c>
      <x:c r="C93" s="26" t="str">
        <x:v>Air Astana Group</x:v>
      </x:c>
      <x:c r="D93" s="26" t="str">
        <x:v>Airlines</x:v>
      </x:c>
      <x:c r="E93" s="26" t="str">
        <x:v>Kazakhstan / Global</x:v>
      </x:c>
      <x:c r="F93" s="28" t="n">
        <x:v>0.5</x:v>
      </x:c>
      <x:c r="G93" s="26" t="n">
        <x:v>2022</x:v>
      </x:c>
      <x:c r="H93" s="26" t="str">
        <x:v>Members</x:v>
      </x:c>
      <x:c r="I93" s="26" t="str">
        <x:v>2023</x:v>
      </x:c>
      <x:c r="J93" s="26" t="str">
        <x:v>Current (≤4 years)</x:v>
      </x:c>
      <x:c r="K93" s="26" t="str">
        <x:v>B</x:v>
      </x:c>
      <x:c r="L93" s="26" t="str">
        <x:v>2024 airline industry report with cited underlying source</x:v>
      </x:c>
      <x:c r="M93" s="26" t="str">
        <x:v>Air Astana Annual Report 2022</x:v>
      </x:c>
      <x:c r="N93" s="26" t="str">
        <x:v>2024 Big Book of Airline Data</x:v>
      </x:c>
      <x:c r="O93" s="26" t="str">
        <x:v>https://ideaworkscompany.com/wp-content/uploads/2024/12/2024-Big-Book-of-Airline-Data-by-IdeaWorks-1.2.pdf</x:v>
      </x:c>
      <x:c r="P93" s="26" t="str"/>
    </x:row>
    <x:row r="94">
      <x:c r="A94" t="n">
        <x:v>91</x:v>
      </x:c>
      <x:c r="B94" s="26" t="str">
        <x:v>Aeroplan</x:v>
      </x:c>
      <x:c r="C94" s="26" t="str">
        <x:v>Air Canada</x:v>
      </x:c>
      <x:c r="D94" s="26" t="str">
        <x:v>Airlines</x:v>
      </x:c>
      <x:c r="E94" s="26" t="str">
        <x:v>Canada / Global</x:v>
      </x:c>
      <x:c r="F94" s="28" t="n">
        <x:v>8</x:v>
      </x:c>
      <x:c r="G94" s="26" t="n">
        <x:v>2023</x:v>
      </x:c>
      <x:c r="H94" s="26" t="str">
        <x:v>Members</x:v>
      </x:c>
      <x:c r="I94" s="26" t="str">
        <x:v>2024</x:v>
      </x:c>
      <x:c r="J94" s="26" t="str">
        <x:v>Current (≤4 years)</x:v>
      </x:c>
      <x:c r="K94" s="26" t="str">
        <x:v>B</x:v>
      </x:c>
      <x:c r="L94" s="26" t="str">
        <x:v>2024 airline industry report with cited underlying source</x:v>
      </x:c>
      <x:c r="M94" s="26" t="str">
        <x:v>Air Canada Annual Report 2023</x:v>
      </x:c>
      <x:c r="N94" s="26" t="str">
        <x:v>2024 Big Book of Airline Data</x:v>
      </x:c>
      <x:c r="O94" s="26" t="str">
        <x:v>https://ideaworkscompany.com/wp-content/uploads/2024/12/2024-Big-Book-of-Airline-Data-by-IdeaWorks-1.2.pdf</x:v>
      </x:c>
      <x:c r="P94" s="26" t="str"/>
    </x:row>
    <x:row r="95">
      <x:c r="A95" t="n">
        <x:v>92</x:v>
      </x:c>
      <x:c r="B95" s="26" t="str">
        <x:v>PhoenixMiles</x:v>
      </x:c>
      <x:c r="C95" s="26" t="str">
        <x:v>Air China</x:v>
      </x:c>
      <x:c r="D95" s="26" t="str">
        <x:v>Airlines</x:v>
      </x:c>
      <x:c r="E95" s="26" t="str">
        <x:v>China / Global</x:v>
      </x:c>
      <x:c r="F95" s="28" t="n">
        <x:v>82.296</x:v>
      </x:c>
      <x:c r="G95" s="26" t="n">
        <x:v>2023</x:v>
      </x:c>
      <x:c r="H95" s="26" t="str">
        <x:v>Members</x:v>
      </x:c>
      <x:c r="I95" s="26" t="str">
        <x:v>2024</x:v>
      </x:c>
      <x:c r="J95" s="26" t="str">
        <x:v>Current (≤4 years)</x:v>
      </x:c>
      <x:c r="K95" s="26" t="str">
        <x:v>B</x:v>
      </x:c>
      <x:c r="L95" s="26" t="str">
        <x:v>2024 airline industry report with cited underlying source</x:v>
      </x:c>
      <x:c r="M95" s="26" t="str">
        <x:v>Air China Annual Report 2023</x:v>
      </x:c>
      <x:c r="N95" s="26" t="str">
        <x:v>2024 Big Book of Airline Data</x:v>
      </x:c>
      <x:c r="O95" s="26" t="str">
        <x:v>https://ideaworkscompany.com/wp-content/uploads/2024/12/2024-Big-Book-of-Airline-Data-by-IdeaWorks-1.2.pdf</x:v>
      </x:c>
      <x:c r="P95" s="26" t="str"/>
    </x:row>
    <x:row r="96">
      <x:c r="A96" t="n">
        <x:v>93</x:v>
      </x:c>
      <x:c r="B96" s="26" t="str">
        <x:v>SUMA</x:v>
      </x:c>
      <x:c r="C96" s="26" t="str">
        <x:v>Air Europa</x:v>
      </x:c>
      <x:c r="D96" s="26" t="str">
        <x:v>Airlines</x:v>
      </x:c>
      <x:c r="E96" s="26" t="str">
        <x:v>Spain / Global</x:v>
      </x:c>
      <x:c r="F96" s="28" t="n">
        <x:v>2</x:v>
      </x:c>
      <x:c r="G96" s="26" t="n">
        <x:v>2023</x:v>
      </x:c>
      <x:c r="H96" s="26" t="str">
        <x:v>Members</x:v>
      </x:c>
      <x:c r="I96" s="26" t="str">
        <x:v>2023</x:v>
      </x:c>
      <x:c r="J96" s="26" t="str">
        <x:v>Current (≤4 years)</x:v>
      </x:c>
      <x:c r="K96" s="26" t="str">
        <x:v>B</x:v>
      </x:c>
      <x:c r="L96" s="26" t="str">
        <x:v>2024 airline industry report with cited underlying source</x:v>
      </x:c>
      <x:c r="M96" s="26" t="str">
        <x:v>Air Europa press release, Feb 2023</x:v>
      </x:c>
      <x:c r="N96" s="26" t="str">
        <x:v>2024 Big Book of Airline Data</x:v>
      </x:c>
      <x:c r="O96" s="26" t="str">
        <x:v>https://ideaworkscompany.com/wp-content/uploads/2024/12/2024-Big-Book-of-Airline-Data-by-IdeaWorks-1.2.pdf</x:v>
      </x:c>
      <x:c r="P96" s="26" t="str"/>
    </x:row>
    <x:row r="97">
      <x:c r="A97" t="n">
        <x:v>94</x:v>
      </x:c>
      <x:c r="B97" s="26" t="str">
        <x:v>Flying Blue</x:v>
      </x:c>
      <x:c r="C97" s="26" t="str">
        <x:v>Air France-KLM</x:v>
      </x:c>
      <x:c r="D97" s="26" t="str">
        <x:v>Airlines</x:v>
      </x:c>
      <x:c r="E97" s="26" t="str">
        <x:v>Global</x:v>
      </x:c>
      <x:c r="F97" s="28" t="n">
        <x:v>22</x:v>
      </x:c>
      <x:c r="G97" s="26" t="n">
        <x:v>2023</x:v>
      </x:c>
      <x:c r="H97" s="26" t="str">
        <x:v>Active members</x:v>
      </x:c>
      <x:c r="I97" s="26" t="str">
        <x:v>2024</x:v>
      </x:c>
      <x:c r="J97" s="26" t="str">
        <x:v>Current (≤4 years)</x:v>
      </x:c>
      <x:c r="K97" s="26" t="str">
        <x:v>B</x:v>
      </x:c>
      <x:c r="L97" s="26" t="str">
        <x:v>2024 airline industry report with cited underlying source</x:v>
      </x:c>
      <x:c r="M97" s="26" t="str">
        <x:v>Air France-KLM Annual Report 2023</x:v>
      </x:c>
      <x:c r="N97" s="26" t="str">
        <x:v>2024 Big Book of Airline Data</x:v>
      </x:c>
      <x:c r="O97" s="26" t="str">
        <x:v>https://ideaworkscompany.com/wp-content/uploads/2024/12/2024-Big-Book-of-Airline-Data-by-IdeaWorks-1.2.pdf</x:v>
      </x:c>
      <x:c r="P97" s="26" t="str">
        <x:v>Active-member metric; total membership is larger in a newer disclosure.</x:v>
      </x:c>
    </x:row>
    <x:row r="98">
      <x:c r="A98" t="n">
        <x:v>95</x:v>
      </x:c>
      <x:c r="B98" s="26" t="str">
        <x:v>Flying Returns</x:v>
      </x:c>
      <x:c r="C98" s="26" t="str">
        <x:v>Air India</x:v>
      </x:c>
      <x:c r="D98" s="26" t="str">
        <x:v>Airlines</x:v>
      </x:c>
      <x:c r="E98" s="26" t="str">
        <x:v>India / Global</x:v>
      </x:c>
      <x:c r="F98" s="28" t="n">
        <x:v>4</x:v>
      </x:c>
      <x:c r="G98" s="26" t="n">
        <x:v>2023</x:v>
      </x:c>
      <x:c r="H98" s="26" t="str">
        <x:v>Members</x:v>
      </x:c>
      <x:c r="I98" s="26" t="str">
        <x:v>2023</x:v>
      </x:c>
      <x:c r="J98" s="26" t="str">
        <x:v>Current (≤4 years)</x:v>
      </x:c>
      <x:c r="K98" s="26" t="str">
        <x:v>C</x:v>
      </x:c>
      <x:c r="L98" s="26" t="str">
        <x:v>2024 airline industry report with cited underlying source</x:v>
      </x:c>
      <x:c r="M98" s="26" t="str">
        <x:v>Business Standard, Dec 2023</x:v>
      </x:c>
      <x:c r="N98" s="26" t="str">
        <x:v>2024 Big Book of Airline Data</x:v>
      </x:c>
      <x:c r="O98" s="26" t="str">
        <x:v>https://ideaworkscompany.com/wp-content/uploads/2024/12/2024-Big-Book-of-Airline-Data-by-IdeaWorks-1.2.pdf</x:v>
      </x:c>
      <x:c r="P98" s="26" t="str"/>
    </x:row>
    <x:row r="99">
      <x:c r="A99" t="n">
        <x:v>96</x:v>
      </x:c>
      <x:c r="B99" s="26" t="str">
        <x:v>Airpoints</x:v>
      </x:c>
      <x:c r="C99" s="26" t="str">
        <x:v>Air New Zealand</x:v>
      </x:c>
      <x:c r="D99" s="26" t="str">
        <x:v>Airlines</x:v>
      </x:c>
      <x:c r="E99" s="26" t="str">
        <x:v>New Zealand / Global</x:v>
      </x:c>
      <x:c r="F99" s="28" t="n">
        <x:v>4.2</x:v>
      </x:c>
      <x:c r="G99" s="26" t="n">
        <x:v>2023</x:v>
      </x:c>
      <x:c r="H99" s="26" t="str">
        <x:v>Members</x:v>
      </x:c>
      <x:c r="I99" s="26" t="str">
        <x:v>2023</x:v>
      </x:c>
      <x:c r="J99" s="26" t="str">
        <x:v>Current (≤4 years)</x:v>
      </x:c>
      <x:c r="K99" s="26" t="str">
        <x:v>B</x:v>
      </x:c>
      <x:c r="L99" s="26" t="str">
        <x:v>2024 airline industry report with cited underlying source</x:v>
      </x:c>
      <x:c r="M99" s="26" t="str">
        <x:v>Air New Zealand Annual Report 2023</x:v>
      </x:c>
      <x:c r="N99" s="26" t="str">
        <x:v>2024 Big Book of Airline Data</x:v>
      </x:c>
      <x:c r="O99" s="26" t="str">
        <x:v>https://ideaworkscompany.com/wp-content/uploads/2024/12/2024-Big-Book-of-Airline-Data-by-IdeaWorks-1.2.pdf</x:v>
      </x:c>
      <x:c r="P99" s="26" t="str"/>
    </x:row>
    <x:row r="100">
      <x:c r="A100" t="n">
        <x:v>97</x:v>
      </x:c>
      <x:c r="B100" s="26" t="str">
        <x:v>AirAsia rewards</x:v>
      </x:c>
      <x:c r="C100" s="26" t="str">
        <x:v>Capital A / AirAsia MOVE</x:v>
      </x:c>
      <x:c r="D100" s="26" t="str">
        <x:v>Airlines</x:v>
      </x:c>
      <x:c r="E100" s="26" t="str">
        <x:v>Asia-Pacific</x:v>
      </x:c>
      <x:c r="F100" s="28" t="n">
        <x:v>29</x:v>
      </x:c>
      <x:c r="G100" s="26" t="n">
        <x:v>2022</x:v>
      </x:c>
      <x:c r="H100" s="26" t="str">
        <x:v>Members</x:v>
      </x:c>
      <x:c r="I100" s="26" t="str">
        <x:v>2023</x:v>
      </x:c>
      <x:c r="J100" s="26" t="str">
        <x:v>Current (≤4 years)</x:v>
      </x:c>
      <x:c r="K100" s="26" t="str">
        <x:v>B</x:v>
      </x:c>
      <x:c r="L100" s="26" t="str">
        <x:v>2024 airline industry report with cited underlying source</x:v>
      </x:c>
      <x:c r="M100" s="26" t="str">
        <x:v>Capital A Annual Report 2022</x:v>
      </x:c>
      <x:c r="N100" s="26" t="str">
        <x:v>2024 Big Book of Airline Data</x:v>
      </x:c>
      <x:c r="O100" s="26" t="str">
        <x:v>https://ideaworkscompany.com/wp-content/uploads/2024/12/2024-Big-Book-of-Airline-Data-by-IdeaWorks-1.2.pdf</x:v>
      </x:c>
      <x:c r="P100" s="26" t="str">
        <x:v>Newer underlying figure than the older 36m disclosure in the global report.</x:v>
      </x:c>
    </x:row>
    <x:row r="101">
      <x:c r="A101" t="n">
        <x:v>98</x:v>
      </x:c>
      <x:c r="B101" s="26" t="str">
        <x:v>airBaltic Club</x:v>
      </x:c>
      <x:c r="C101" s="26" t="str">
        <x:v>airBaltic</x:v>
      </x:c>
      <x:c r="D101" s="26" t="str">
        <x:v>Airlines</x:v>
      </x:c>
      <x:c r="E101" s="26" t="str">
        <x:v>Baltics / Europe</x:v>
      </x:c>
      <x:c r="F101" s="28" t="n">
        <x:v>1.09075</x:v>
      </x:c>
      <x:c r="G101" s="26" t="n">
        <x:v>2023</x:v>
      </x:c>
      <x:c r="H101" s="26" t="str">
        <x:v>Members</x:v>
      </x:c>
      <x:c r="I101" s="26" t="str">
        <x:v>2024</x:v>
      </x:c>
      <x:c r="J101" s="26" t="str">
        <x:v>Current (≤4 years)</x:v>
      </x:c>
      <x:c r="K101" s="26" t="str">
        <x:v>B</x:v>
      </x:c>
      <x:c r="L101" s="26" t="str">
        <x:v>2024 airline industry report with cited underlying source</x:v>
      </x:c>
      <x:c r="M101" s="26" t="str">
        <x:v>airBaltic Annual Report 2023</x:v>
      </x:c>
      <x:c r="N101" s="26" t="str">
        <x:v>2024 Big Book of Airline Data</x:v>
      </x:c>
      <x:c r="O101" s="26" t="str">
        <x:v>https://ideaworkscompany.com/wp-content/uploads/2024/12/2024-Big-Book-of-Airline-Data-by-IdeaWorks-1.2.pdf</x:v>
      </x:c>
      <x:c r="P101" s="26" t="str"/>
    </x:row>
    <x:row r="102">
      <x:c r="A102" t="n">
        <x:v>99</x:v>
      </x:c>
      <x:c r="B102" s="26" t="str">
        <x:v>Skybucks</x:v>
      </x:c>
      <x:c r="C102" s="26" t="str">
        <x:v>Airlink</x:v>
      </x:c>
      <x:c r="D102" s="26" t="str">
        <x:v>Airlines</x:v>
      </x:c>
      <x:c r="E102" s="26" t="str">
        <x:v>Southern Africa</x:v>
      </x:c>
      <x:c r="F102" s="28" t="n">
        <x:v>3</x:v>
      </x:c>
      <x:c r="G102" s="26" t="n">
        <x:v>2023</x:v>
      </x:c>
      <x:c r="H102" s="26" t="str">
        <x:v>Members</x:v>
      </x:c>
      <x:c r="I102" s="26" t="str">
        <x:v>2023</x:v>
      </x:c>
      <x:c r="J102" s="26" t="str">
        <x:v>Current (≤4 years)</x:v>
      </x:c>
      <x:c r="K102" s="26" t="str">
        <x:v>B</x:v>
      </x:c>
      <x:c r="L102" s="26" t="str">
        <x:v>2024 airline industry report with cited underlying source</x:v>
      </x:c>
      <x:c r="M102" s="26" t="str">
        <x:v>Airlink company brochure, Jun 2023</x:v>
      </x:c>
      <x:c r="N102" s="26" t="str">
        <x:v>2024 Big Book of Airline Data</x:v>
      </x:c>
      <x:c r="O102" s="26" t="str">
        <x:v>https://ideaworkscompany.com/wp-content/uploads/2024/12/2024-Big-Book-of-Airline-Data-by-IdeaWorks-1.2.pdf</x:v>
      </x:c>
      <x:c r="P102" s="26" t="str"/>
    </x:row>
    <x:row r="103">
      <x:c r="A103" t="n">
        <x:v>100</x:v>
      </x:c>
      <x:c r="B103" s="26" t="str">
        <x:v>Mileage Plan</x:v>
      </x:c>
      <x:c r="C103" s="26" t="str">
        <x:v>Alaska Air Group</x:v>
      </x:c>
      <x:c r="D103" s="26" t="str">
        <x:v>Airlines</x:v>
      </x:c>
      <x:c r="E103" s="26" t="str">
        <x:v>North America</x:v>
      </x:c>
      <x:c r="F103" s="28" t="n">
        <x:v>30</x:v>
      </x:c>
      <x:c r="G103" s="26" t="n">
        <x:v>2023</x:v>
      </x:c>
      <x:c r="H103" s="26" t="str">
        <x:v>Members (estimate)</x:v>
      </x:c>
      <x:c r="I103" s="26" t="str">
        <x:v>2024</x:v>
      </x:c>
      <x:c r="J103" s="26" t="str">
        <x:v>Current (≤4 years)</x:v>
      </x:c>
      <x:c r="K103" s="26" t="str">
        <x:v>C</x:v>
      </x:c>
      <x:c r="L103" s="26" t="str">
        <x:v>2024 airline industry report with cited underlying source</x:v>
      </x:c>
      <x:c r="M103" s="26" t="str">
        <x:v>Alaska annual report plus IdeaWorks estimate</x:v>
      </x:c>
      <x:c r="N103" s="26" t="str">
        <x:v>2024 Big Book of Airline Data</x:v>
      </x:c>
      <x:c r="O103" s="26" t="str">
        <x:v>https://ideaworkscompany.com/wp-content/uploads/2024/12/2024-Big-Book-of-Airline-Data-by-IdeaWorks-1.2.pdf</x:v>
      </x:c>
      <x:c r="P103" s="26" t="str"/>
    </x:row>
    <x:row r="104">
      <x:c r="A104" t="n">
        <x:v>101</x:v>
      </x:c>
      <x:c r="B104" s="26" t="str">
        <x:v>Allways Rewards</x:v>
      </x:c>
      <x:c r="C104" s="26" t="str">
        <x:v>Allegiant Travel Company</x:v>
      </x:c>
      <x:c r="D104" s="26" t="str">
        <x:v>Airlines</x:v>
      </x:c>
      <x:c r="E104" s="26" t="str">
        <x:v>United States</x:v>
      </x:c>
      <x:c r="F104" s="28" t="n">
        <x:v>17</x:v>
      </x:c>
      <x:c r="G104" s="26" t="n">
        <x:v>2023</x:v>
      </x:c>
      <x:c r="H104" s="26" t="str">
        <x:v>Members</x:v>
      </x:c>
      <x:c r="I104" s="26" t="str">
        <x:v>2024</x:v>
      </x:c>
      <x:c r="J104" s="26" t="str">
        <x:v>Current (≤4 years)</x:v>
      </x:c>
      <x:c r="K104" s="26" t="str">
        <x:v>B</x:v>
      </x:c>
      <x:c r="L104" s="26" t="str">
        <x:v>2024 airline industry report with cited underlying source</x:v>
      </x:c>
      <x:c r="M104" s="26" t="str">
        <x:v>Allegiant Annual Report 2023</x:v>
      </x:c>
      <x:c r="N104" s="26" t="str">
        <x:v>2024 Big Book of Airline Data</x:v>
      </x:c>
      <x:c r="O104" s="26" t="str">
        <x:v>https://ideaworkscompany.com/wp-content/uploads/2024/12/2024-Big-Book-of-Airline-Data-by-IdeaWorks-1.2.pdf</x:v>
      </x:c>
      <x:c r="P104" s="26" t="str"/>
    </x:row>
    <x:row r="105">
      <x:c r="A105" t="n">
        <x:v>102</x:v>
      </x:c>
      <x:c r="B105" s="26" t="str">
        <x:v>AAdvantage</x:v>
      </x:c>
      <x:c r="C105" s="26" t="str">
        <x:v>American Airlines Group</x:v>
      </x:c>
      <x:c r="D105" s="26" t="str">
        <x:v>Airlines</x:v>
      </x:c>
      <x:c r="E105" s="26" t="str">
        <x:v>Global</x:v>
      </x:c>
      <x:c r="F105" s="28" t="n">
        <x:v>120</x:v>
      </x:c>
      <x:c r="G105" s="26" t="n">
        <x:v>2020</x:v>
      </x:c>
      <x:c r="H105" s="26" t="str">
        <x:v>Members (estimate)</x:v>
      </x:c>
      <x:c r="I105" s="26" t="str">
        <x:v>2024</x:v>
      </x:c>
      <x:c r="J105" s="26" t="str">
        <x:v>Current (≤4 years)</x:v>
      </x:c>
      <x:c r="K105" s="26" t="str">
        <x:v>C</x:v>
      </x:c>
      <x:c r="L105" s="26" t="str">
        <x:v>2024 airline industry report with cited underlying source</x:v>
      </x:c>
      <x:c r="M105" s="26" t="str">
        <x:v>American annual report 2020 plus IdeaWorks estimate</x:v>
      </x:c>
      <x:c r="N105" s="26" t="str">
        <x:v>2024 Big Book of Airline Data</x:v>
      </x:c>
      <x:c r="O105" s="26" t="str">
        <x:v>https://ideaworkscompany.com/wp-content/uploads/2024/12/2024-Big-Book-of-Airline-Data-by-IdeaWorks-1.2.pdf</x:v>
      </x:c>
      <x:c r="P105" s="26" t="str">
        <x:v>Underlying member base is old and partly estimated.</x:v>
      </x:c>
    </x:row>
    <x:row r="106">
      <x:c r="A106" t="n">
        <x:v>103</x:v>
      </x:c>
      <x:c r="B106" s="26" t="str">
        <x:v>ANA Mileage Club</x:v>
      </x:c>
      <x:c r="C106" s="26" t="str">
        <x:v>ANA Holdings</x:v>
      </x:c>
      <x:c r="D106" s="26" t="str">
        <x:v>Airlines</x:v>
      </x:c>
      <x:c r="E106" s="26" t="str">
        <x:v>Japan / Global</x:v>
      </x:c>
      <x:c r="F106" s="28" t="n">
        <x:v>40</x:v>
      </x:c>
      <x:c r="G106" s="26" t="n">
        <x:v>2023</x:v>
      </x:c>
      <x:c r="H106" s="26" t="str">
        <x:v>Members</x:v>
      </x:c>
      <x:c r="I106" s="26" t="str">
        <x:v>2024</x:v>
      </x:c>
      <x:c r="J106" s="26" t="str">
        <x:v>Current (≤4 years)</x:v>
      </x:c>
      <x:c r="K106" s="26" t="str">
        <x:v>B</x:v>
      </x:c>
      <x:c r="L106" s="26" t="str">
        <x:v>2024 airline industry report with cited underlying source</x:v>
      </x:c>
      <x:c r="M106" s="26" t="str">
        <x:v>ANA FY2023 Annual Report</x:v>
      </x:c>
      <x:c r="N106" s="26" t="str">
        <x:v>2024 Big Book of Airline Data</x:v>
      </x:c>
      <x:c r="O106" s="26" t="str">
        <x:v>https://ideaworkscompany.com/wp-content/uploads/2024/12/2024-Big-Book-of-Airline-Data-by-IdeaWorks-1.2.pdf</x:v>
      </x:c>
      <x:c r="P106" s="26" t="str"/>
    </x:row>
    <x:row r="107">
      <x:c r="A107" t="n">
        <x:v>104</x:v>
      </x:c>
      <x:c r="B107" s="26" t="str">
        <x:v>LifeMiles</x:v>
      </x:c>
      <x:c r="C107" s="26" t="str">
        <x:v>Avianca Group</x:v>
      </x:c>
      <x:c r="D107" s="26" t="str">
        <x:v>Airlines</x:v>
      </x:c>
      <x:c r="E107" s="26" t="str">
        <x:v>Latin America / Global</x:v>
      </x:c>
      <x:c r="F107" s="28" t="n">
        <x:v>12.5</x:v>
      </x:c>
      <x:c r="G107" s="26" t="n">
        <x:v>2023</x:v>
      </x:c>
      <x:c r="H107" s="26" t="str">
        <x:v>Members</x:v>
      </x:c>
      <x:c r="I107" s="26" t="str">
        <x:v>2024</x:v>
      </x:c>
      <x:c r="J107" s="26" t="str">
        <x:v>Current (≤4 years)</x:v>
      </x:c>
      <x:c r="K107" s="26" t="str">
        <x:v>B</x:v>
      </x:c>
      <x:c r="L107" s="26" t="str">
        <x:v>2024 airline industry report with cited underlying source</x:v>
      </x:c>
      <x:c r="M107" s="26" t="str">
        <x:v>Avianca Annual Report 2023</x:v>
      </x:c>
      <x:c r="N107" s="26" t="str">
        <x:v>2024 Big Book of Airline Data</x:v>
      </x:c>
      <x:c r="O107" s="26" t="str">
        <x:v>https://ideaworkscompany.com/wp-content/uploads/2024/12/2024-Big-Book-of-Airline-Data-by-IdeaWorks-1.2.pdf</x:v>
      </x:c>
      <x:c r="P107" s="26" t="str"/>
    </x:row>
    <x:row r="108">
      <x:c r="A108" t="n">
        <x:v>105</x:v>
      </x:c>
      <x:c r="B108" s="26" t="str">
        <x:v>A+</x:v>
      </x:c>
      <x:c r="C108" s="26" t="str">
        <x:v>Azimuth Airlines</x:v>
      </x:c>
      <x:c r="D108" s="26" t="str">
        <x:v>Airlines</x:v>
      </x:c>
      <x:c r="E108" s="26" t="str">
        <x:v>Russia</x:v>
      </x:c>
      <x:c r="F108" s="28" t="n">
        <x:v>0.1</x:v>
      </x:c>
      <x:c r="G108" s="26" t="n">
        <x:v>2024</x:v>
      </x:c>
      <x:c r="H108" s="26" t="str">
        <x:v>Members</x:v>
      </x:c>
      <x:c r="I108" s="26" t="str">
        <x:v>2024</x:v>
      </x:c>
      <x:c r="J108" s="26" t="str">
        <x:v>Current (≤4 years)</x:v>
      </x:c>
      <x:c r="K108" s="26" t="str">
        <x:v>B</x:v>
      </x:c>
      <x:c r="L108" s="26" t="str">
        <x:v>2024 airline industry report with cited underlying source</x:v>
      </x:c>
      <x:c r="M108" s="26" t="str">
        <x:v>Azimuth press release, Jun 2024</x:v>
      </x:c>
      <x:c r="N108" s="26" t="str">
        <x:v>2024 Big Book of Airline Data</x:v>
      </x:c>
      <x:c r="O108" s="26" t="str">
        <x:v>https://ideaworkscompany.com/wp-content/uploads/2024/12/2024-Big-Book-of-Airline-Data-by-IdeaWorks-1.2.pdf</x:v>
      </x:c>
      <x:c r="P108" s="26" t="str"/>
    </x:row>
    <x:row r="109">
      <x:c r="A109" t="n">
        <x:v>106</x:v>
      </x:c>
      <x:c r="B109" s="26" t="str">
        <x:v>TudoAzul / Azul Fidelidade</x:v>
      </x:c>
      <x:c r="C109" s="26" t="str">
        <x:v>Azul S.A.</x:v>
      </x:c>
      <x:c r="D109" s="26" t="str">
        <x:v>Airlines</x:v>
      </x:c>
      <x:c r="E109" s="26" t="str">
        <x:v>Brazil / Global</x:v>
      </x:c>
      <x:c r="F109" s="28" t="n">
        <x:v>17</x:v>
      </x:c>
      <x:c r="G109" s="26" t="n">
        <x:v>2023</x:v>
      </x:c>
      <x:c r="H109" s="26" t="str">
        <x:v>Members</x:v>
      </x:c>
      <x:c r="I109" s="26" t="str">
        <x:v>2024</x:v>
      </x:c>
      <x:c r="J109" s="26" t="str">
        <x:v>Current (≤4 years)</x:v>
      </x:c>
      <x:c r="K109" s="26" t="str">
        <x:v>B</x:v>
      </x:c>
      <x:c r="L109" s="26" t="str">
        <x:v>2024 airline industry report with cited underlying source</x:v>
      </x:c>
      <x:c r="M109" s="26" t="str">
        <x:v>Azul Annual Report 2023</x:v>
      </x:c>
      <x:c r="N109" s="26" t="str">
        <x:v>2024 Big Book of Airline Data</x:v>
      </x:c>
      <x:c r="O109" s="26" t="str">
        <x:v>https://ideaworkscompany.com/wp-content/uploads/2024/12/2024-Big-Book-of-Airline-Data-by-IdeaWorks-1.2.pdf</x:v>
      </x:c>
      <x:c r="P109" s="26" t="str"/>
    </x:row>
    <x:row r="110">
      <x:c r="A110" t="n">
        <x:v>107</x:v>
      </x:c>
      <x:c r="B110" s="26" t="str">
        <x:v>FlyerBonus</x:v>
      </x:c>
      <x:c r="C110" s="26" t="str">
        <x:v>Bangkok Airways</x:v>
      </x:c>
      <x:c r="D110" s="26" t="str">
        <x:v>Airlines</x:v>
      </x:c>
      <x:c r="E110" s="26" t="str">
        <x:v>Thailand / Asia</x:v>
      </x:c>
      <x:c r="F110" s="28" t="n">
        <x:v>1.408102</x:v>
      </x:c>
      <x:c r="G110" s="26" t="n">
        <x:v>2023</x:v>
      </x:c>
      <x:c r="H110" s="26" t="str">
        <x:v>Members</x:v>
      </x:c>
      <x:c r="I110" s="26" t="str">
        <x:v>2024</x:v>
      </x:c>
      <x:c r="J110" s="26" t="str">
        <x:v>Current (≤4 years)</x:v>
      </x:c>
      <x:c r="K110" s="26" t="str">
        <x:v>B</x:v>
      </x:c>
      <x:c r="L110" s="26" t="str">
        <x:v>2024 airline industry report with cited underlying source</x:v>
      </x:c>
      <x:c r="M110" s="26" t="str">
        <x:v>Bangkok Airways Annual Report 2023</x:v>
      </x:c>
      <x:c r="N110" s="26" t="str">
        <x:v>2024 Big Book of Airline Data</x:v>
      </x:c>
      <x:c r="O110" s="26" t="str">
        <x:v>https://ideaworkscompany.com/wp-content/uploads/2024/12/2024-Big-Book-of-Airline-Data-by-IdeaWorks-1.2.pdf</x:v>
      </x:c>
      <x:c r="P110" s="26" t="str"/>
    </x:row>
    <x:row r="111">
      <x:c r="A111" t="n">
        <x:v>108</x:v>
      </x:c>
      <x:c r="B111" s="26" t="str">
        <x:v>Cathay / Asia Miles</x:v>
      </x:c>
      <x:c r="C111" s="26" t="str">
        <x:v>Cathay Pacific Airways</x:v>
      </x:c>
      <x:c r="D111" s="26" t="str">
        <x:v>Airlines</x:v>
      </x:c>
      <x:c r="E111" s="26" t="str">
        <x:v>Hong Kong / Global</x:v>
      </x:c>
      <x:c r="F111" s="28" t="n">
        <x:v>13</x:v>
      </x:c>
      <x:c r="G111" s="26" t="n">
        <x:v>2022</x:v>
      </x:c>
      <x:c r="H111" s="26" t="str">
        <x:v>Members</x:v>
      </x:c>
      <x:c r="I111" s="26" t="str">
        <x:v>2023</x:v>
      </x:c>
      <x:c r="J111" s="26" t="str">
        <x:v>Current (≤4 years)</x:v>
      </x:c>
      <x:c r="K111" s="26" t="str">
        <x:v>B</x:v>
      </x:c>
      <x:c r="L111" s="26" t="str">
        <x:v>2024 airline industry report with cited underlying source</x:v>
      </x:c>
      <x:c r="M111" s="26" t="str">
        <x:v>Cathay Annual Report 2022</x:v>
      </x:c>
      <x:c r="N111" s="26" t="str">
        <x:v>2024 Big Book of Airline Data</x:v>
      </x:c>
      <x:c r="O111" s="26" t="str">
        <x:v>https://ideaworkscompany.com/wp-content/uploads/2024/12/2024-Big-Book-of-Airline-Data-by-IdeaWorks-1.2.pdf</x:v>
      </x:c>
      <x:c r="P111" s="26" t="str"/>
    </x:row>
    <x:row r="112">
      <x:c r="A112" t="n">
        <x:v>109</x:v>
      </x:c>
      <x:c r="B112" s="26" t="str">
        <x:v>Eastern Miles</x:v>
      </x:c>
      <x:c r="C112" s="26" t="str">
        <x:v>China Eastern Airlines</x:v>
      </x:c>
      <x:c r="D112" s="26" t="str">
        <x:v>Airlines</x:v>
      </x:c>
      <x:c r="E112" s="26" t="str">
        <x:v>China / Global</x:v>
      </x:c>
      <x:c r="F112" s="28" t="n">
        <x:v>57</x:v>
      </x:c>
      <x:c r="G112" s="26" t="n">
        <x:v>2023</x:v>
      </x:c>
      <x:c r="H112" s="26" t="str">
        <x:v>Members</x:v>
      </x:c>
      <x:c r="I112" s="26" t="str">
        <x:v>2024</x:v>
      </x:c>
      <x:c r="J112" s="26" t="str">
        <x:v>Current (≤4 years)</x:v>
      </x:c>
      <x:c r="K112" s="26" t="str">
        <x:v>B</x:v>
      </x:c>
      <x:c r="L112" s="26" t="str">
        <x:v>2024 airline industry report with cited underlying source</x:v>
      </x:c>
      <x:c r="M112" s="26" t="str">
        <x:v>China Eastern Annual Report 2023</x:v>
      </x:c>
      <x:c r="N112" s="26" t="str">
        <x:v>2024 Big Book of Airline Data</x:v>
      </x:c>
      <x:c r="O112" s="26" t="str">
        <x:v>https://ideaworkscompany.com/wp-content/uploads/2024/12/2024-Big-Book-of-Airline-Data-by-IdeaWorks-1.2.pdf</x:v>
      </x:c>
      <x:c r="P112" s="26" t="str"/>
    </x:row>
    <x:row r="113">
      <x:c r="A113" t="n">
        <x:v>110</x:v>
      </x:c>
      <x:c r="B113" s="26" t="str">
        <x:v>Sky Pearl Club</x:v>
      </x:c>
      <x:c r="C113" s="26" t="str">
        <x:v>China Southern Airlines</x:v>
      </x:c>
      <x:c r="D113" s="26" t="str">
        <x:v>Airlines</x:v>
      </x:c>
      <x:c r="E113" s="26" t="str">
        <x:v>China / Global</x:v>
      </x:c>
      <x:c r="F113" s="28" t="n">
        <x:v>99.06</x:v>
      </x:c>
      <x:c r="G113" s="26" t="n">
        <x:v>2023</x:v>
      </x:c>
      <x:c r="H113" s="26" t="str">
        <x:v>Members</x:v>
      </x:c>
      <x:c r="I113" s="26" t="str">
        <x:v>2023</x:v>
      </x:c>
      <x:c r="J113" s="26" t="str">
        <x:v>Current (≤4 years)</x:v>
      </x:c>
      <x:c r="K113" s="26" t="str">
        <x:v>B</x:v>
      </x:c>
      <x:c r="L113" s="26" t="str">
        <x:v>2024 airline industry report with cited underlying source</x:v>
      </x:c>
      <x:c r="M113" s="26" t="str">
        <x:v>China Southern company disclosure, 2023</x:v>
      </x:c>
      <x:c r="N113" s="26" t="str">
        <x:v>2024 Big Book of Airline Data</x:v>
      </x:c>
      <x:c r="O113" s="26" t="str">
        <x:v>https://ideaworkscompany.com/wp-content/uploads/2024/12/2024-Big-Book-of-Airline-Data-by-IdeaWorks-1.2.pdf</x:v>
      </x:c>
      <x:c r="P113" s="26" t="str"/>
    </x:row>
    <x:row r="114">
      <x:c r="A114" t="n">
        <x:v>111</x:v>
      </x:c>
      <x:c r="B114" s="26" t="str">
        <x:v>SkyMiles</x:v>
      </x:c>
      <x:c r="C114" s="26" t="str">
        <x:v>Delta Air Lines</x:v>
      </x:c>
      <x:c r="D114" s="26" t="str">
        <x:v>Airlines</x:v>
      </x:c>
      <x:c r="E114" s="26" t="str">
        <x:v>Global</x:v>
      </x:c>
      <x:c r="F114" s="28" t="n">
        <x:v>130</x:v>
      </x:c>
      <x:c r="G114" s="26" t="n">
        <x:v>2023</x:v>
      </x:c>
      <x:c r="H114" s="26" t="str">
        <x:v>Members</x:v>
      </x:c>
      <x:c r="I114" s="26" t="str">
        <x:v>2023</x:v>
      </x:c>
      <x:c r="J114" s="26" t="str">
        <x:v>Current (≤4 years)</x:v>
      </x:c>
      <x:c r="K114" s="26" t="str">
        <x:v>B</x:v>
      </x:c>
      <x:c r="L114" s="26" t="str">
        <x:v>2024 airline industry report with cited underlying source</x:v>
      </x:c>
      <x:c r="M114" s="26" t="str">
        <x:v>Delta company presentation, 2023</x:v>
      </x:c>
      <x:c r="N114" s="26" t="str">
        <x:v>2024 Big Book of Airline Data</x:v>
      </x:c>
      <x:c r="O114" s="26" t="str">
        <x:v>https://ideaworkscompany.com/wp-content/uploads/2024/12/2024-Big-Book-of-Airline-Data-by-IdeaWorks-1.2.pdf</x:v>
      </x:c>
      <x:c r="P114" s="26" t="str"/>
    </x:row>
    <x:row r="115">
      <x:c r="A115" t="n">
        <x:v>112</x:v>
      </x:c>
      <x:c r="B115" s="26" t="str">
        <x:v>Matmid</x:v>
      </x:c>
      <x:c r="C115" s="26" t="str">
        <x:v>El Al Israel Airlines</x:v>
      </x:c>
      <x:c r="D115" s="26" t="str">
        <x:v>Airlines</x:v>
      </x:c>
      <x:c r="E115" s="26" t="str">
        <x:v>Israel / Global</x:v>
      </x:c>
      <x:c r="F115" s="28" t="n">
        <x:v>3</x:v>
      </x:c>
      <x:c r="G115" s="26" t="n">
        <x:v>2023</x:v>
      </x:c>
      <x:c r="H115" s="26" t="str">
        <x:v>Members</x:v>
      </x:c>
      <x:c r="I115" s="26" t="str">
        <x:v>2023</x:v>
      </x:c>
      <x:c r="J115" s="26" t="str">
        <x:v>Current (≤4 years)</x:v>
      </x:c>
      <x:c r="K115" s="26" t="str">
        <x:v>B</x:v>
      </x:c>
      <x:c r="L115" s="26" t="str">
        <x:v>2024 airline industry report with cited underlying source</x:v>
      </x:c>
      <x:c r="M115" s="26" t="str">
        <x:v>El Al investor presentation 2023</x:v>
      </x:c>
      <x:c r="N115" s="26" t="str">
        <x:v>2024 Big Book of Airline Data</x:v>
      </x:c>
      <x:c r="O115" s="26" t="str">
        <x:v>https://ideaworkscompany.com/wp-content/uploads/2024/12/2024-Big-Book-of-Airline-Data-by-IdeaWorks-1.2.pdf</x:v>
      </x:c>
      <x:c r="P115" s="26" t="str"/>
    </x:row>
    <x:row r="116">
      <x:c r="A116" t="n">
        <x:v>113</x:v>
      </x:c>
      <x:c r="B116" s="26" t="str">
        <x:v>Emirates Skywards</x:v>
      </x:c>
      <x:c r="C116" s="26" t="str">
        <x:v>Emirates Group</x:v>
      </x:c>
      <x:c r="D116" s="26" t="str">
        <x:v>Airlines</x:v>
      </x:c>
      <x:c r="E116" s="26" t="str">
        <x:v>Global</x:v>
      </x:c>
      <x:c r="F116" s="28" t="n">
        <x:v>30</x:v>
      </x:c>
      <x:c r="G116" s="26" t="n">
        <x:v>2024</x:v>
      </x:c>
      <x:c r="H116" s="26" t="str">
        <x:v>Members</x:v>
      </x:c>
      <x:c r="I116" s="26" t="str">
        <x:v>2024</x:v>
      </x:c>
      <x:c r="J116" s="26" t="str">
        <x:v>Current (≤4 years)</x:v>
      </x:c>
      <x:c r="K116" s="26" t="str">
        <x:v>B</x:v>
      </x:c>
      <x:c r="L116" s="26" t="str">
        <x:v>2024 airline industry report with cited underlying source</x:v>
      </x:c>
      <x:c r="M116" s="26" t="str">
        <x:v>Emirates FY2023/24 disclosure</x:v>
      </x:c>
      <x:c r="N116" s="26" t="str">
        <x:v>2024 Big Book of Airline Data</x:v>
      </x:c>
      <x:c r="O116" s="26" t="str">
        <x:v>https://ideaworkscompany.com/wp-content/uploads/2024/12/2024-Big-Book-of-Airline-Data-by-IdeaWorks-1.2.pdf</x:v>
      </x:c>
      <x:c r="P116" s="26" t="str"/>
    </x:row>
    <x:row r="117">
      <x:c r="A117" t="n">
        <x:v>114</x:v>
      </x:c>
      <x:c r="B117" s="26" t="str">
        <x:v>Etihad Guest</x:v>
      </x:c>
      <x:c r="C117" s="26" t="str">
        <x:v>Etihad Airways</x:v>
      </x:c>
      <x:c r="D117" s="26" t="str">
        <x:v>Airlines</x:v>
      </x:c>
      <x:c r="E117" s="26" t="str">
        <x:v>Global</x:v>
      </x:c>
      <x:c r="F117" s="28" t="n">
        <x:v>10</x:v>
      </x:c>
      <x:c r="G117" s="26" t="n">
        <x:v>2024</x:v>
      </x:c>
      <x:c r="H117" s="26" t="str">
        <x:v>Members</x:v>
      </x:c>
      <x:c r="I117" s="26" t="str">
        <x:v>2024</x:v>
      </x:c>
      <x:c r="J117" s="26" t="str">
        <x:v>Current (≤4 years)</x:v>
      </x:c>
      <x:c r="K117" s="26" t="str">
        <x:v>B</x:v>
      </x:c>
      <x:c r="L117" s="26" t="str">
        <x:v>2024 airline industry report with cited underlying source</x:v>
      </x:c>
      <x:c r="M117" s="26" t="str">
        <x:v>Etihad press release, Jul 2024</x:v>
      </x:c>
      <x:c r="N117" s="26" t="str">
        <x:v>2024 Big Book of Airline Data</x:v>
      </x:c>
      <x:c r="O117" s="26" t="str">
        <x:v>https://ideaworkscompany.com/wp-content/uploads/2024/12/2024-Big-Book-of-Airline-Data-by-IdeaWorks-1.2.pdf</x:v>
      </x:c>
      <x:c r="P117" s="26" t="str"/>
    </x:row>
    <x:row r="118">
      <x:c r="A118" t="n">
        <x:v>115</x:v>
      </x:c>
      <x:c r="B118" s="26" t="str">
        <x:v>Finnair Plus</x:v>
      </x:c>
      <x:c r="C118" s="26" t="str">
        <x:v>Finnair</x:v>
      </x:c>
      <x:c r="D118" s="26" t="str">
        <x:v>Airlines</x:v>
      </x:c>
      <x:c r="E118" s="26" t="str">
        <x:v>Finland / Global</x:v>
      </x:c>
      <x:c r="F118" s="28" t="n">
        <x:v>4.5</x:v>
      </x:c>
      <x:c r="G118" s="26" t="n">
        <x:v>2023</x:v>
      </x:c>
      <x:c r="H118" s="26" t="str">
        <x:v>Members</x:v>
      </x:c>
      <x:c r="I118" s="26" t="str">
        <x:v>2024</x:v>
      </x:c>
      <x:c r="J118" s="26" t="str">
        <x:v>Current (≤4 years)</x:v>
      </x:c>
      <x:c r="K118" s="26" t="str">
        <x:v>B</x:v>
      </x:c>
      <x:c r="L118" s="26" t="str">
        <x:v>2024 airline industry report with cited underlying source</x:v>
      </x:c>
      <x:c r="M118" s="26" t="str">
        <x:v>Finnair Annual Report 2023</x:v>
      </x:c>
      <x:c r="N118" s="26" t="str">
        <x:v>2024 Big Book of Airline Data</x:v>
      </x:c>
      <x:c r="O118" s="26" t="str">
        <x:v>https://ideaworkscompany.com/wp-content/uploads/2024/12/2024-Big-Book-of-Airline-Data-by-IdeaWorks-1.2.pdf</x:v>
      </x:c>
      <x:c r="P118" s="26" t="str"/>
    </x:row>
    <x:row r="119">
      <x:c r="A119" t="n">
        <x:v>116</x:v>
      </x:c>
      <x:c r="B119" s="26" t="str">
        <x:v>GarudaMiles</x:v>
      </x:c>
      <x:c r="C119" s="26" t="str">
        <x:v>Garuda Indonesia</x:v>
      </x:c>
      <x:c r="D119" s="26" t="str">
        <x:v>Airlines</x:v>
      </x:c>
      <x:c r="E119" s="26" t="str">
        <x:v>Indonesia / Global</x:v>
      </x:c>
      <x:c r="F119" s="28" t="n">
        <x:v>2.05</x:v>
      </x:c>
      <x:c r="G119" s="26" t="n">
        <x:v>2023</x:v>
      </x:c>
      <x:c r="H119" s="26" t="str">
        <x:v>Members</x:v>
      </x:c>
      <x:c r="I119" s="26" t="str">
        <x:v>2024</x:v>
      </x:c>
      <x:c r="J119" s="26" t="str">
        <x:v>Current (≤4 years)</x:v>
      </x:c>
      <x:c r="K119" s="26" t="str">
        <x:v>B</x:v>
      </x:c>
      <x:c r="L119" s="26" t="str">
        <x:v>2024 airline industry report with cited underlying source</x:v>
      </x:c>
      <x:c r="M119" s="26" t="str">
        <x:v>Garuda Indonesia Annual Report 2023</x:v>
      </x:c>
      <x:c r="N119" s="26" t="str">
        <x:v>2024 Big Book of Airline Data</x:v>
      </x:c>
      <x:c r="O119" s="26" t="str">
        <x:v>https://ideaworkscompany.com/wp-content/uploads/2024/12/2024-Big-Book-of-Airline-Data-by-IdeaWorks-1.2.pdf</x:v>
      </x:c>
      <x:c r="P119" s="26" t="str"/>
    </x:row>
    <x:row r="120">
      <x:c r="A120" t="n">
        <x:v>117</x:v>
      </x:c>
      <x:c r="B120" s="26" t="str">
        <x:v>Smiles</x:v>
      </x:c>
      <x:c r="C120" s="26" t="str">
        <x:v>GOL Linhas Aéreas / Smiles</x:v>
      </x:c>
      <x:c r="D120" s="26" t="str">
        <x:v>Airlines</x:v>
      </x:c>
      <x:c r="E120" s="26" t="str">
        <x:v>Brazil / Global</x:v>
      </x:c>
      <x:c r="F120" s="28" t="n">
        <x:v>22.6</x:v>
      </x:c>
      <x:c r="G120" s="26" t="n">
        <x:v>2023</x:v>
      </x:c>
      <x:c r="H120" s="26" t="str">
        <x:v>Members</x:v>
      </x:c>
      <x:c r="I120" s="26" t="str">
        <x:v>2024</x:v>
      </x:c>
      <x:c r="J120" s="26" t="str">
        <x:v>Current (≤4 years)</x:v>
      </x:c>
      <x:c r="K120" s="26" t="str">
        <x:v>B</x:v>
      </x:c>
      <x:c r="L120" s="26" t="str">
        <x:v>2024 airline industry report with cited underlying source</x:v>
      </x:c>
      <x:c r="M120" s="26" t="str">
        <x:v>GOL Annual Report 2023</x:v>
      </x:c>
      <x:c r="N120" s="26" t="str">
        <x:v>2024 Big Book of Airline Data</x:v>
      </x:c>
      <x:c r="O120" s="26" t="str">
        <x:v>https://ideaworkscompany.com/wp-content/uploads/2024/12/2024-Big-Book-of-Airline-Data-by-IdeaWorks-1.2.pdf</x:v>
      </x:c>
      <x:c r="P120" s="26" t="str"/>
    </x:row>
    <x:row r="121">
      <x:c r="A121" t="n">
        <x:v>118</x:v>
      </x:c>
      <x:c r="B121" s="26" t="str">
        <x:v>HawaiianMiles</x:v>
      </x:c>
      <x:c r="C121" s="26" t="str">
        <x:v>Alaska Air Group / Hawaiian Airlines</x:v>
      </x:c>
      <x:c r="D121" s="26" t="str">
        <x:v>Airlines</x:v>
      </x:c>
      <x:c r="E121" s="26" t="str">
        <x:v>Hawaii / North America</x:v>
      </x:c>
      <x:c r="F121" s="28" t="n">
        <x:v>12.3</x:v>
      </x:c>
      <x:c r="G121" s="26" t="n">
        <x:v>2023</x:v>
      </x:c>
      <x:c r="H121" s="26" t="str">
        <x:v>Members</x:v>
      </x:c>
      <x:c r="I121" s="26" t="str">
        <x:v>2024</x:v>
      </x:c>
      <x:c r="J121" s="26" t="str">
        <x:v>Current (≤4 years)</x:v>
      </x:c>
      <x:c r="K121" s="26" t="str">
        <x:v>B</x:v>
      </x:c>
      <x:c r="L121" s="26" t="str">
        <x:v>2024 airline industry report with cited underlying source</x:v>
      </x:c>
      <x:c r="M121" s="26" t="str">
        <x:v>Hawaiian Annual Report 2023</x:v>
      </x:c>
      <x:c r="N121" s="26" t="str">
        <x:v>2024 Big Book of Airline Data</x:v>
      </x:c>
      <x:c r="O121" s="26" t="str">
        <x:v>https://ideaworkscompany.com/wp-content/uploads/2024/12/2024-Big-Book-of-Airline-Data-by-IdeaWorks-1.2.pdf</x:v>
      </x:c>
      <x:c r="P121" s="26" t="str"/>
    </x:row>
    <x:row r="122">
      <x:c r="A122" t="n">
        <x:v>119</x:v>
      </x:c>
      <x:c r="B122" s="26" t="str">
        <x:v>Saga Club</x:v>
      </x:c>
      <x:c r="C122" s="26" t="str">
        <x:v>Icelandair Group</x:v>
      </x:c>
      <x:c r="D122" s="26" t="str">
        <x:v>Airlines</x:v>
      </x:c>
      <x:c r="E122" s="26" t="str">
        <x:v>Iceland / Global</x:v>
      </x:c>
      <x:c r="F122" s="28" t="n">
        <x:v>1.3</x:v>
      </x:c>
      <x:c r="G122" s="26" t="n">
        <x:v>2022</x:v>
      </x:c>
      <x:c r="H122" s="26" t="str">
        <x:v>Members</x:v>
      </x:c>
      <x:c r="I122" s="26" t="str">
        <x:v>2023</x:v>
      </x:c>
      <x:c r="J122" s="26" t="str">
        <x:v>Current (≤4 years)</x:v>
      </x:c>
      <x:c r="K122" s="26" t="str">
        <x:v>B</x:v>
      </x:c>
      <x:c r="L122" s="26" t="str">
        <x:v>2024 airline industry report with cited underlying source</x:v>
      </x:c>
      <x:c r="M122" s="26" t="str">
        <x:v>Icelandair Annual Report 2022</x:v>
      </x:c>
      <x:c r="N122" s="26" t="str">
        <x:v>2024 Big Book of Airline Data</x:v>
      </x:c>
      <x:c r="O122" s="26" t="str">
        <x:v>https://ideaworkscompany.com/wp-content/uploads/2024/12/2024-Big-Book-of-Airline-Data-by-IdeaWorks-1.2.pdf</x:v>
      </x:c>
      <x:c r="P122" s="26" t="str"/>
    </x:row>
    <x:row r="123">
      <x:c r="A123" t="n">
        <x:v>120</x:v>
      </x:c>
      <x:c r="B123" s="26" t="str">
        <x:v>Avios / IAG loyalty members</x:v>
      </x:c>
      <x:c r="C123" s="26" t="str">
        <x:v>International Airlines Group</x:v>
      </x:c>
      <x:c r="D123" s="26" t="str">
        <x:v>Airlines</x:v>
      </x:c>
      <x:c r="E123" s="26" t="str">
        <x:v>Global</x:v>
      </x:c>
      <x:c r="F123" s="28" t="n">
        <x:v>40</x:v>
      </x:c>
      <x:c r="G123" s="26" t="n">
        <x:v>2023</x:v>
      </x:c>
      <x:c r="H123" s="26" t="str">
        <x:v>Members</x:v>
      </x:c>
      <x:c r="I123" s="26" t="str">
        <x:v>2024</x:v>
      </x:c>
      <x:c r="J123" s="26" t="str">
        <x:v>Current (≤4 years)</x:v>
      </x:c>
      <x:c r="K123" s="26" t="str">
        <x:v>B</x:v>
      </x:c>
      <x:c r="L123" s="26" t="str">
        <x:v>2024 airline industry report with cited underlying source</x:v>
      </x:c>
      <x:c r="M123" s="26" t="str">
        <x:v>IAG Annual Report 2023</x:v>
      </x:c>
      <x:c r="N123" s="26" t="str">
        <x:v>2024 Big Book of Airline Data</x:v>
      </x:c>
      <x:c r="O123" s="26" t="str">
        <x:v>https://ideaworkscompany.com/wp-content/uploads/2024/12/2024-Big-Book-of-Airline-Data-by-IdeaWorks-1.2.pdf</x:v>
      </x:c>
      <x:c r="P123" s="26" t="str"/>
    </x:row>
    <x:row r="124">
      <x:c r="A124" t="n">
        <x:v>121</x:v>
      </x:c>
      <x:c r="B124" s="26" t="str">
        <x:v>Volare</x:v>
      </x:c>
      <x:c r="C124" s="26" t="str">
        <x:v>ITA Airways</x:v>
      </x:c>
      <x:c r="D124" s="26" t="str">
        <x:v>Airlines</x:v>
      </x:c>
      <x:c r="E124" s="26" t="str">
        <x:v>Italy / Global</x:v>
      </x:c>
      <x:c r="F124" s="28" t="n">
        <x:v>1.6</x:v>
      </x:c>
      <x:c r="G124" s="26" t="n">
        <x:v>2022</x:v>
      </x:c>
      <x:c r="H124" s="26" t="str">
        <x:v>Members</x:v>
      </x:c>
      <x:c r="I124" s="26" t="str">
        <x:v>2022</x:v>
      </x:c>
      <x:c r="J124" s="26" t="str">
        <x:v>Current (≤4 years)</x:v>
      </x:c>
      <x:c r="K124" s="26" t="str">
        <x:v>B</x:v>
      </x:c>
      <x:c r="L124" s="26" t="str">
        <x:v>2024 airline industry report with cited underlying source</x:v>
      </x:c>
      <x:c r="M124" s="26" t="str">
        <x:v>ITA Airways press release, Dec 2022</x:v>
      </x:c>
      <x:c r="N124" s="26" t="str">
        <x:v>2024 Big Book of Airline Data</x:v>
      </x:c>
      <x:c r="O124" s="26" t="str">
        <x:v>https://ideaworkscompany.com/wp-content/uploads/2024/12/2024-Big-Book-of-Airline-Data-by-IdeaWorks-1.2.pdf</x:v>
      </x:c>
      <x:c r="P124" s="26" t="str"/>
    </x:row>
    <x:row r="125">
      <x:c r="A125" t="n">
        <x:v>122</x:v>
      </x:c>
      <x:c r="B125" s="26" t="str">
        <x:v>JAL Mileage Bank</x:v>
      </x:c>
      <x:c r="C125" s="26" t="str">
        <x:v>Japan Airlines</x:v>
      </x:c>
      <x:c r="D125" s="26" t="str">
        <x:v>Airlines</x:v>
      </x:c>
      <x:c r="E125" s="26" t="str">
        <x:v>Japan / Global</x:v>
      </x:c>
      <x:c r="F125" s="28" t="n">
        <x:v>37</x:v>
      </x:c>
      <x:c r="G125" s="26" t="n">
        <x:v>2022</x:v>
      </x:c>
      <x:c r="H125" s="26" t="str">
        <x:v>Members</x:v>
      </x:c>
      <x:c r="I125" s="26" t="str">
        <x:v>2023</x:v>
      </x:c>
      <x:c r="J125" s="26" t="str">
        <x:v>Current (≤4 years)</x:v>
      </x:c>
      <x:c r="K125" s="26" t="str">
        <x:v>B</x:v>
      </x:c>
      <x:c r="L125" s="26" t="str">
        <x:v>2024 airline industry report with cited underlying source</x:v>
      </x:c>
      <x:c r="M125" s="26" t="str">
        <x:v>JAL FY2022 Annual Report</x:v>
      </x:c>
      <x:c r="N125" s="26" t="str">
        <x:v>2024 Big Book of Airline Data</x:v>
      </x:c>
      <x:c r="O125" s="26" t="str">
        <x:v>https://ideaworkscompany.com/wp-content/uploads/2024/12/2024-Big-Book-of-Airline-Data-by-IdeaWorks-1.2.pdf</x:v>
      </x:c>
      <x:c r="P125" s="26" t="str"/>
    </x:row>
    <x:row r="126">
      <x:c r="A126" t="n">
        <x:v>123</x:v>
      </x:c>
      <x:c r="B126" s="26" t="str">
        <x:v>TrueBlue</x:v>
      </x:c>
      <x:c r="C126" s="26" t="str">
        <x:v>JetBlue Airways</x:v>
      </x:c>
      <x:c r="D126" s="26" t="str">
        <x:v>Airlines</x:v>
      </x:c>
      <x:c r="E126" s="26" t="str">
        <x:v>North America</x:v>
      </x:c>
      <x:c r="F126" s="28" t="n">
        <x:v>12</x:v>
      </x:c>
      <x:c r="G126" s="26" t="n">
        <x:v>2018</x:v>
      </x:c>
      <x:c r="H126" s="26" t="str">
        <x:v>Members</x:v>
      </x:c>
      <x:c r="I126" s="26" t="str">
        <x:v>2018</x:v>
      </x:c>
      <x:c r="J126" s="26" t="str">
        <x:v>Older than 4 years</x:v>
      </x:c>
      <x:c r="K126" s="26" t="str">
        <x:v>C</x:v>
      </x:c>
      <x:c r="L126" s="26" t="str">
        <x:v>2024 airline industry report with cited underlying source</x:v>
      </x:c>
      <x:c r="M126" s="26" t="str">
        <x:v>JetBlue fact sheet 2018</x:v>
      </x:c>
      <x:c r="N126" s="26" t="str">
        <x:v>2024 Big Book of Airline Data</x:v>
      </x:c>
      <x:c r="O126" s="26" t="str">
        <x:v>https://ideaworkscompany.com/wp-content/uploads/2024/12/2024-Big-Book-of-Airline-Data-by-IdeaWorks-1.2.pdf</x:v>
      </x:c>
      <x:c r="P126" s="26" t="str">
        <x:v>Disclosure is substantially older than four years.</x:v>
      </x:c>
    </x:row>
    <x:row r="127">
      <x:c r="A127" t="n">
        <x:v>124</x:v>
      </x:c>
      <x:c r="B127" s="26" t="str">
        <x:v>LATAM Pass</x:v>
      </x:c>
      <x:c r="C127" s="26" t="str">
        <x:v>LATAM Airlines Group</x:v>
      </x:c>
      <x:c r="D127" s="26" t="str">
        <x:v>Airlines</x:v>
      </x:c>
      <x:c r="E127" s="26" t="str">
        <x:v>Latin America / Global</x:v>
      </x:c>
      <x:c r="F127" s="28" t="n">
        <x:v>45</x:v>
      </x:c>
      <x:c r="G127" s="26" t="n">
        <x:v>2023</x:v>
      </x:c>
      <x:c r="H127" s="26" t="str">
        <x:v>Members</x:v>
      </x:c>
      <x:c r="I127" s="26" t="str">
        <x:v>2024</x:v>
      </x:c>
      <x:c r="J127" s="26" t="str">
        <x:v>Current (≤4 years)</x:v>
      </x:c>
      <x:c r="K127" s="26" t="str">
        <x:v>B</x:v>
      </x:c>
      <x:c r="L127" s="26" t="str">
        <x:v>2024 airline industry report with cited underlying source</x:v>
      </x:c>
      <x:c r="M127" s="26" t="str">
        <x:v>LATAM Annual Report 2023</x:v>
      </x:c>
      <x:c r="N127" s="26" t="str">
        <x:v>2024 Big Book of Airline Data</x:v>
      </x:c>
      <x:c r="O127" s="26" t="str">
        <x:v>https://ideaworkscompany.com/wp-content/uploads/2024/12/2024-Big-Book-of-Airline-Data-by-IdeaWorks-1.2.pdf</x:v>
      </x:c>
      <x:c r="P127" s="26" t="str"/>
    </x:row>
    <x:row r="128">
      <x:c r="A128" t="n">
        <x:v>125</x:v>
      </x:c>
      <x:c r="B128" s="26" t="str">
        <x:v>Miles &amp; More</x:v>
      </x:c>
      <x:c r="C128" s="26" t="str">
        <x:v>Lufthansa Group</x:v>
      </x:c>
      <x:c r="D128" s="26" t="str">
        <x:v>Airlines</x:v>
      </x:c>
      <x:c r="E128" s="26" t="str">
        <x:v>Global</x:v>
      </x:c>
      <x:c r="F128" s="28" t="n">
        <x:v>36</x:v>
      </x:c>
      <x:c r="G128" s="26" t="n">
        <x:v>2023</x:v>
      </x:c>
      <x:c r="H128" s="26" t="str">
        <x:v>Members</x:v>
      </x:c>
      <x:c r="I128" s="26" t="str">
        <x:v>2024</x:v>
      </x:c>
      <x:c r="J128" s="26" t="str">
        <x:v>Current (≤4 years)</x:v>
      </x:c>
      <x:c r="K128" s="26" t="str">
        <x:v>B</x:v>
      </x:c>
      <x:c r="L128" s="26" t="str">
        <x:v>2024 airline industry report with cited underlying source</x:v>
      </x:c>
      <x:c r="M128" s="26" t="str">
        <x:v>Miles &amp; More company website</x:v>
      </x:c>
      <x:c r="N128" s="26" t="str">
        <x:v>2024 Big Book of Airline Data</x:v>
      </x:c>
      <x:c r="O128" s="26" t="str">
        <x:v>https://ideaworkscompany.com/wp-content/uploads/2024/12/2024-Big-Book-of-Airline-Data-by-IdeaWorks-1.2.pdf</x:v>
      </x:c>
      <x:c r="P128" s="26" t="str"/>
    </x:row>
    <x:row r="129">
      <x:c r="A129" t="n">
        <x:v>126</x:v>
      </x:c>
      <x:c r="B129" s="26" t="str">
        <x:v>Norwegian Reward</x:v>
      </x:c>
      <x:c r="C129" s="26" t="str">
        <x:v>Norwegian Air Shuttle</x:v>
      </x:c>
      <x:c r="D129" s="26" t="str">
        <x:v>Airlines</x:v>
      </x:c>
      <x:c r="E129" s="26" t="str">
        <x:v>Europe / Global</x:v>
      </x:c>
      <x:c r="F129" s="28" t="n">
        <x:v>4</x:v>
      </x:c>
      <x:c r="G129" s="26" t="n">
        <x:v>2023</x:v>
      </x:c>
      <x:c r="H129" s="26" t="str">
        <x:v>Members</x:v>
      </x:c>
      <x:c r="I129" s="26" t="str">
        <x:v>2024</x:v>
      </x:c>
      <x:c r="J129" s="26" t="str">
        <x:v>Current (≤4 years)</x:v>
      </x:c>
      <x:c r="K129" s="26" t="str">
        <x:v>B</x:v>
      </x:c>
      <x:c r="L129" s="26" t="str">
        <x:v>2024 airline industry report with cited underlying source</x:v>
      </x:c>
      <x:c r="M129" s="26" t="str">
        <x:v>Norwegian Annual Report 2023</x:v>
      </x:c>
      <x:c r="N129" s="26" t="str">
        <x:v>2024 Big Book of Airline Data</x:v>
      </x:c>
      <x:c r="O129" s="26" t="str">
        <x:v>https://ideaworkscompany.com/wp-content/uploads/2024/12/2024-Big-Book-of-Airline-Data-by-IdeaWorks-1.2.pdf</x:v>
      </x:c>
      <x:c r="P129" s="26" t="str"/>
    </x:row>
    <x:row r="130">
      <x:c r="A130" t="n">
        <x:v>127</x:v>
      </x:c>
      <x:c r="B130" s="26" t="str">
        <x:v>BolBol</x:v>
      </x:c>
      <x:c r="C130" s="26" t="str">
        <x:v>Pegasus Airlines</x:v>
      </x:c>
      <x:c r="D130" s="26" t="str">
        <x:v>Airlines</x:v>
      </x:c>
      <x:c r="E130" s="26" t="str">
        <x:v>Turkey / Europe</x:v>
      </x:c>
      <x:c r="F130" s="28" t="n">
        <x:v>10.596909</x:v>
      </x:c>
      <x:c r="G130" s="26" t="n">
        <x:v>2022</x:v>
      </x:c>
      <x:c r="H130" s="26" t="str">
        <x:v>Members</x:v>
      </x:c>
      <x:c r="I130" s="26" t="str">
        <x:v>2023</x:v>
      </x:c>
      <x:c r="J130" s="26" t="str">
        <x:v>Current (≤4 years)</x:v>
      </x:c>
      <x:c r="K130" s="26" t="str">
        <x:v>B</x:v>
      </x:c>
      <x:c r="L130" s="26" t="str">
        <x:v>2024 airline industry report with cited underlying source</x:v>
      </x:c>
      <x:c r="M130" s="26" t="str">
        <x:v>Pegasus company disclosure 2022</x:v>
      </x:c>
      <x:c r="N130" s="26" t="str">
        <x:v>2024 Big Book of Airline Data</x:v>
      </x:c>
      <x:c r="O130" s="26" t="str">
        <x:v>https://ideaworkscompany.com/wp-content/uploads/2024/12/2024-Big-Book-of-Airline-Data-by-IdeaWorks-1.2.pdf</x:v>
      </x:c>
      <x:c r="P130" s="26" t="str"/>
    </x:row>
    <x:row r="131">
      <x:c r="A131" t="n">
        <x:v>128</x:v>
      </x:c>
      <x:c r="B131" s="26" t="str">
        <x:v>Mabuhay Miles</x:v>
      </x:c>
      <x:c r="C131" s="26" t="str">
        <x:v>Philippine Airlines</x:v>
      </x:c>
      <x:c r="D131" s="26" t="str">
        <x:v>Airlines</x:v>
      </x:c>
      <x:c r="E131" s="26" t="str">
        <x:v>Philippines / Global</x:v>
      </x:c>
      <x:c r="F131" s="28" t="n">
        <x:v>5.7</x:v>
      </x:c>
      <x:c r="G131" s="26" t="n">
        <x:v>2023</x:v>
      </x:c>
      <x:c r="H131" s="26" t="str">
        <x:v>Members</x:v>
      </x:c>
      <x:c r="I131" s="26" t="str">
        <x:v>2024</x:v>
      </x:c>
      <x:c r="J131" s="26" t="str">
        <x:v>Current (≤4 years)</x:v>
      </x:c>
      <x:c r="K131" s="26" t="str">
        <x:v>B</x:v>
      </x:c>
      <x:c r="L131" s="26" t="str">
        <x:v>2024 airline industry report with cited underlying source</x:v>
      </x:c>
      <x:c r="M131" s="26" t="str">
        <x:v>Philippine Airlines Annual Report 2023</x:v>
      </x:c>
      <x:c r="N131" s="26" t="str">
        <x:v>2024 Big Book of Airline Data</x:v>
      </x:c>
      <x:c r="O131" s="26" t="str">
        <x:v>https://ideaworkscompany.com/wp-content/uploads/2024/12/2024-Big-Book-of-Airline-Data-by-IdeaWorks-1.2.pdf</x:v>
      </x:c>
      <x:c r="P131" s="26" t="str"/>
    </x:row>
    <x:row r="132">
      <x:c r="A132" t="n">
        <x:v>129</x:v>
      </x:c>
      <x:c r="B132" s="26" t="str">
        <x:v>Qantas Frequent Flyer</x:v>
      </x:c>
      <x:c r="C132" s="26" t="str">
        <x:v>Qantas Airways</x:v>
      </x:c>
      <x:c r="D132" s="26" t="str">
        <x:v>Airlines</x:v>
      </x:c>
      <x:c r="E132" s="26" t="str">
        <x:v>Australia / Global</x:v>
      </x:c>
      <x:c r="F132" s="28" t="n">
        <x:v>15.2</x:v>
      </x:c>
      <x:c r="G132" s="26" t="n">
        <x:v>2023</x:v>
      </x:c>
      <x:c r="H132" s="26" t="str">
        <x:v>Members</x:v>
      </x:c>
      <x:c r="I132" s="26" t="str">
        <x:v>2023</x:v>
      </x:c>
      <x:c r="J132" s="26" t="str">
        <x:v>Current (≤4 years)</x:v>
      </x:c>
      <x:c r="K132" s="26" t="str">
        <x:v>B</x:v>
      </x:c>
      <x:c r="L132" s="26" t="str">
        <x:v>2024 airline industry report with cited underlying source</x:v>
      </x:c>
      <x:c r="M132" s="26" t="str">
        <x:v>Qantas Annual Report 2023</x:v>
      </x:c>
      <x:c r="N132" s="26" t="str">
        <x:v>2024 Big Book of Airline Data</x:v>
      </x:c>
      <x:c r="O132" s="26" t="str">
        <x:v>https://ideaworkscompany.com/wp-content/uploads/2024/12/2024-Big-Book-of-Airline-Data-by-IdeaWorks-1.2.pdf</x:v>
      </x:c>
      <x:c r="P132" s="26" t="str"/>
    </x:row>
    <x:row r="133">
      <x:c r="A133" t="n">
        <x:v>130</x:v>
      </x:c>
      <x:c r="B133" s="26" t="str">
        <x:v>Royal Club</x:v>
      </x:c>
      <x:c r="C133" s="26" t="str">
        <x:v>Royal Jordanian</x:v>
      </x:c>
      <x:c r="D133" s="26" t="str">
        <x:v>Airlines</x:v>
      </x:c>
      <x:c r="E133" s="26" t="str">
        <x:v>Jordan / Global</x:v>
      </x:c>
      <x:c r="F133" s="28" t="n">
        <x:v>0.5</x:v>
      </x:c>
      <x:c r="G133" s="26" t="n">
        <x:v>2022</x:v>
      </x:c>
      <x:c r="H133" s="26" t="str">
        <x:v>Members</x:v>
      </x:c>
      <x:c r="I133" s="26" t="str">
        <x:v>2023</x:v>
      </x:c>
      <x:c r="J133" s="26" t="str">
        <x:v>Current (≤4 years)</x:v>
      </x:c>
      <x:c r="K133" s="26" t="str">
        <x:v>B</x:v>
      </x:c>
      <x:c r="L133" s="26" t="str">
        <x:v>2024 airline industry report with cited underlying source</x:v>
      </x:c>
      <x:c r="M133" s="26" t="str">
        <x:v>Royal Jordanian Annual Report 2022</x:v>
      </x:c>
      <x:c r="N133" s="26" t="str">
        <x:v>2024 Big Book of Airline Data</x:v>
      </x:c>
      <x:c r="O133" s="26" t="str">
        <x:v>https://ideaworkscompany.com/wp-content/uploads/2024/12/2024-Big-Book-of-Airline-Data-by-IdeaWorks-1.2.pdf</x:v>
      </x:c>
      <x:c r="P133" s="26" t="str"/>
    </x:row>
    <x:row r="134">
      <x:c r="A134" t="n">
        <x:v>131</x:v>
      </x:c>
      <x:c r="B134" s="26" t="str">
        <x:v>S7 Priority</x:v>
      </x:c>
      <x:c r="C134" s="26" t="str">
        <x:v>S7 Airlines</x:v>
      </x:c>
      <x:c r="D134" s="26" t="str">
        <x:v>Airlines</x:v>
      </x:c>
      <x:c r="E134" s="26" t="str">
        <x:v>Russia / Global</x:v>
      </x:c>
      <x:c r="F134" s="28" t="n">
        <x:v>6</x:v>
      </x:c>
      <x:c r="G134" s="26" t="n">
        <x:v>2023</x:v>
      </x:c>
      <x:c r="H134" s="26" t="str">
        <x:v>Members</x:v>
      </x:c>
      <x:c r="I134" s="26" t="str">
        <x:v>2023</x:v>
      </x:c>
      <x:c r="J134" s="26" t="str">
        <x:v>Current (≤4 years)</x:v>
      </x:c>
      <x:c r="K134" s="26" t="str">
        <x:v>B</x:v>
      </x:c>
      <x:c r="L134" s="26" t="str">
        <x:v>2024 airline industry report with cited underlying source</x:v>
      </x:c>
      <x:c r="M134" s="26" t="str">
        <x:v>S7 press release, Nov 2023</x:v>
      </x:c>
      <x:c r="N134" s="26" t="str">
        <x:v>2024 Big Book of Airline Data</x:v>
      </x:c>
      <x:c r="O134" s="26" t="str">
        <x:v>https://ideaworkscompany.com/wp-content/uploads/2024/12/2024-Big-Book-of-Airline-Data-by-IdeaWorks-1.2.pdf</x:v>
      </x:c>
      <x:c r="P134" s="26" t="str"/>
    </x:row>
    <x:row r="135">
      <x:c r="A135" t="n">
        <x:v>132</x:v>
      </x:c>
      <x:c r="B135" s="26" t="str">
        <x:v>EuroBonus</x:v>
      </x:c>
      <x:c r="C135" s="26" t="str">
        <x:v>SAS</x:v>
      </x:c>
      <x:c r="D135" s="26" t="str">
        <x:v>Airlines</x:v>
      </x:c>
      <x:c r="E135" s="26" t="str">
        <x:v>Nordics / Global</x:v>
      </x:c>
      <x:c r="F135" s="28" t="n">
        <x:v>7</x:v>
      </x:c>
      <x:c r="G135" s="26" t="n">
        <x:v>2023</x:v>
      </x:c>
      <x:c r="H135" s="26" t="str">
        <x:v>Members (over)</x:v>
      </x:c>
      <x:c r="I135" s="26" t="str">
        <x:v>2024</x:v>
      </x:c>
      <x:c r="J135" s="26" t="str">
        <x:v>Current (≤4 years)</x:v>
      </x:c>
      <x:c r="K135" s="26" t="str">
        <x:v>B</x:v>
      </x:c>
      <x:c r="L135" s="26" t="str">
        <x:v>2024 airline industry report with cited underlying source</x:v>
      </x:c>
      <x:c r="M135" s="26" t="str">
        <x:v>SAS Annual Report 2023</x:v>
      </x:c>
      <x:c r="N135" s="26" t="str">
        <x:v>2024 Big Book of Airline Data</x:v>
      </x:c>
      <x:c r="O135" s="26" t="str">
        <x:v>https://ideaworkscompany.com/wp-content/uploads/2024/12/2024-Big-Book-of-Airline-Data-by-IdeaWorks-1.2.pdf</x:v>
      </x:c>
      <x:c r="P135" s="26" t="str"/>
    </x:row>
    <x:row r="136">
      <x:c r="A136" t="n">
        <x:v>133</x:v>
      </x:c>
      <x:c r="B136" s="26" t="str">
        <x:v>SATA Imagine</x:v>
      </x:c>
      <x:c r="C136" s="26" t="str">
        <x:v>SATA Group</x:v>
      </x:c>
      <x:c r="D136" s="26" t="str">
        <x:v>Airlines</x:v>
      </x:c>
      <x:c r="E136" s="26" t="str">
        <x:v>Azores / Portugal</x:v>
      </x:c>
      <x:c r="F136" s="28" t="n">
        <x:v>0.070343</x:v>
      </x:c>
      <x:c r="G136" s="26" t="n">
        <x:v>2023</x:v>
      </x:c>
      <x:c r="H136" s="26" t="str">
        <x:v>Members</x:v>
      </x:c>
      <x:c r="I136" s="26" t="str">
        <x:v>2024</x:v>
      </x:c>
      <x:c r="J136" s="26" t="str">
        <x:v>Current (≤4 years)</x:v>
      </x:c>
      <x:c r="K136" s="26" t="str">
        <x:v>B</x:v>
      </x:c>
      <x:c r="L136" s="26" t="str">
        <x:v>2024 airline industry report with cited underlying source</x:v>
      </x:c>
      <x:c r="M136" s="26" t="str">
        <x:v>SATA Annual Report 2023</x:v>
      </x:c>
      <x:c r="N136" s="26" t="str">
        <x:v>2024 Big Book of Airline Data</x:v>
      </x:c>
      <x:c r="O136" s="26" t="str">
        <x:v>https://ideaworkscompany.com/wp-content/uploads/2024/12/2024-Big-Book-of-Airline-Data-by-IdeaWorks-1.2.pdf</x:v>
      </x:c>
      <x:c r="P136" s="26" t="str"/>
    </x:row>
    <x:row r="137">
      <x:c r="A137" t="n">
        <x:v>134</x:v>
      </x:c>
      <x:c r="B137" s="26" t="str">
        <x:v>KrisFlyer</x:v>
      </x:c>
      <x:c r="C137" s="26" t="str">
        <x:v>Singapore Airlines</x:v>
      </x:c>
      <x:c r="D137" s="26" t="str">
        <x:v>Airlines</x:v>
      </x:c>
      <x:c r="E137" s="26" t="str">
        <x:v>Global</x:v>
      </x:c>
      <x:c r="F137" s="28" t="n">
        <x:v>8.8</x:v>
      </x:c>
      <x:c r="G137" s="26" t="n">
        <x:v>2023</x:v>
      </x:c>
      <x:c r="H137" s="26" t="str">
        <x:v>Members</x:v>
      </x:c>
      <x:c r="I137" s="26" t="str">
        <x:v>2024</x:v>
      </x:c>
      <x:c r="J137" s="26" t="str">
        <x:v>Current (≤4 years)</x:v>
      </x:c>
      <x:c r="K137" s="26" t="str">
        <x:v>B</x:v>
      </x:c>
      <x:c r="L137" s="26" t="str">
        <x:v>2024 airline industry report with cited underlying source</x:v>
      </x:c>
      <x:c r="M137" s="26" t="str">
        <x:v>Singapore Airlines Annual Report 2023</x:v>
      </x:c>
      <x:c r="N137" s="26" t="str">
        <x:v>2024 Big Book of Airline Data</x:v>
      </x:c>
      <x:c r="O137" s="26" t="str">
        <x:v>https://ideaworkscompany.com/wp-content/uploads/2024/12/2024-Big-Book-of-Airline-Data-by-IdeaWorks-1.2.pdf</x:v>
      </x:c>
      <x:c r="P137" s="26" t="str"/>
    </x:row>
    <x:row r="138">
      <x:c r="A138" t="n">
        <x:v>135</x:v>
      </x:c>
      <x:c r="B138" s="26" t="str">
        <x:v>SpringPass</x:v>
      </x:c>
      <x:c r="C138" s="26" t="str">
        <x:v>Spring Airlines</x:v>
      </x:c>
      <x:c r="D138" s="26" t="str">
        <x:v>Airlines</x:v>
      </x:c>
      <x:c r="E138" s="26" t="str">
        <x:v>China / Asia</x:v>
      </x:c>
      <x:c r="F138" s="28" t="n">
        <x:v>33</x:v>
      </x:c>
      <x:c r="G138" s="26" t="n">
        <x:v>2023</x:v>
      </x:c>
      <x:c r="H138" s="26" t="str">
        <x:v>Members</x:v>
      </x:c>
      <x:c r="I138" s="26" t="str">
        <x:v>2024</x:v>
      </x:c>
      <x:c r="J138" s="26" t="str">
        <x:v>Current (≤4 years)</x:v>
      </x:c>
      <x:c r="K138" s="26" t="str">
        <x:v>B</x:v>
      </x:c>
      <x:c r="L138" s="26" t="str">
        <x:v>2024 airline industry report with cited underlying source</x:v>
      </x:c>
      <x:c r="M138" s="26" t="str">
        <x:v>Spring Airlines Annual Report 2023</x:v>
      </x:c>
      <x:c r="N138" s="26" t="str">
        <x:v>2024 Big Book of Airline Data</x:v>
      </x:c>
      <x:c r="O138" s="26" t="str">
        <x:v>https://ideaworkscompany.com/wp-content/uploads/2024/12/2024-Big-Book-of-Airline-Data-by-IdeaWorks-1.2.pdf</x:v>
      </x:c>
      <x:c r="P138" s="26" t="str"/>
    </x:row>
    <x:row r="139">
      <x:c r="A139" t="n">
        <x:v>136</x:v>
      </x:c>
      <x:c r="B139" s="26" t="str">
        <x:v>FlySmiLes</x:v>
      </x:c>
      <x:c r="C139" s="26" t="str">
        <x:v>SriLankan Airlines</x:v>
      </x:c>
      <x:c r="D139" s="26" t="str">
        <x:v>Airlines</x:v>
      </x:c>
      <x:c r="E139" s="26" t="str">
        <x:v>Sri Lanka / Global</x:v>
      </x:c>
      <x:c r="F139" s="28" t="n">
        <x:v>0.615</x:v>
      </x:c>
      <x:c r="G139" s="26" t="n">
        <x:v>2020</x:v>
      </x:c>
      <x:c r="H139" s="26" t="str">
        <x:v>Members</x:v>
      </x:c>
      <x:c r="I139" s="26" t="str">
        <x:v>2021</x:v>
      </x:c>
      <x:c r="J139" s="26" t="str">
        <x:v>Older than 4 years</x:v>
      </x:c>
      <x:c r="K139" s="26" t="str">
        <x:v>C</x:v>
      </x:c>
      <x:c r="L139" s="26" t="str">
        <x:v>2024 airline industry report with cited underlying source</x:v>
      </x:c>
      <x:c r="M139" s="26" t="str">
        <x:v>SriLankan Annual Report 2020</x:v>
      </x:c>
      <x:c r="N139" s="26" t="str">
        <x:v>2024 Big Book of Airline Data</x:v>
      </x:c>
      <x:c r="O139" s="26" t="str">
        <x:v>https://ideaworkscompany.com/wp-content/uploads/2024/12/2024-Big-Book-of-Airline-Data-by-IdeaWorks-1.2.pdf</x:v>
      </x:c>
      <x:c r="P139" s="26" t="str">
        <x:v>Disclosure is older than four years.</x:v>
      </x:c>
    </x:row>
    <x:row r="140">
      <x:c r="A140" t="n">
        <x:v>137</x:v>
      </x:c>
      <x:c r="B140" s="26" t="str">
        <x:v>Royal Orchid Plus</x:v>
      </x:c>
      <x:c r="C140" s="26" t="str">
        <x:v>Thai Airways International</x:v>
      </x:c>
      <x:c r="D140" s="26" t="str">
        <x:v>Airlines</x:v>
      </x:c>
      <x:c r="E140" s="26" t="str">
        <x:v>Thailand / Global</x:v>
      </x:c>
      <x:c r="F140" s="28" t="n">
        <x:v>4</x:v>
      </x:c>
      <x:c r="G140" s="26" t="n">
        <x:v>2021</x:v>
      </x:c>
      <x:c r="H140" s="26" t="str">
        <x:v>Members</x:v>
      </x:c>
      <x:c r="I140" s="26" t="str">
        <x:v>2022</x:v>
      </x:c>
      <x:c r="J140" s="26" t="str">
        <x:v>Current (≤4 years)</x:v>
      </x:c>
      <x:c r="K140" s="26" t="str">
        <x:v>C</x:v>
      </x:c>
      <x:c r="L140" s="26" t="str">
        <x:v>2024 airline industry report with cited underlying source</x:v>
      </x:c>
      <x:c r="M140" s="26" t="str">
        <x:v>Thai Airways Annual Report 2021</x:v>
      </x:c>
      <x:c r="N140" s="26" t="str">
        <x:v>2024 Big Book of Airline Data</x:v>
      </x:c>
      <x:c r="O140" s="26" t="str">
        <x:v>https://ideaworkscompany.com/wp-content/uploads/2024/12/2024-Big-Book-of-Airline-Data-by-IdeaWorks-1.2.pdf</x:v>
      </x:c>
      <x:c r="P140" s="26" t="str">
        <x:v>Disclosure is older than four years.</x:v>
      </x:c>
    </x:row>
    <x:row r="141">
      <x:c r="A141" t="n">
        <x:v>138</x:v>
      </x:c>
      <x:c r="B141" s="26" t="str">
        <x:v>tigerclub</x:v>
      </x:c>
      <x:c r="C141" s="26" t="str">
        <x:v>Tigerair Taiwan</x:v>
      </x:c>
      <x:c r="D141" s="26" t="str">
        <x:v>Airlines</x:v>
      </x:c>
      <x:c r="E141" s="26" t="str">
        <x:v>Taiwan / Asia</x:v>
      </x:c>
      <x:c r="F141" s="28" t="n">
        <x:v>0.65</x:v>
      </x:c>
      <x:c r="G141" s="26" t="n">
        <x:v>2023</x:v>
      </x:c>
      <x:c r="H141" s="26" t="str">
        <x:v>Members</x:v>
      </x:c>
      <x:c r="I141" s="26" t="str">
        <x:v>2023</x:v>
      </x:c>
      <x:c r="J141" s="26" t="str">
        <x:v>Current (≤4 years)</x:v>
      </x:c>
      <x:c r="K141" s="26" t="str">
        <x:v>B</x:v>
      </x:c>
      <x:c r="L141" s="26" t="str">
        <x:v>2024 airline industry report with cited underlying source</x:v>
      </x:c>
      <x:c r="M141" s="26" t="str">
        <x:v>Tigerair Taiwan investor presentation 2023</x:v>
      </x:c>
      <x:c r="N141" s="26" t="str">
        <x:v>2024 Big Book of Airline Data</x:v>
      </x:c>
      <x:c r="O141" s="26" t="str">
        <x:v>https://ideaworkscompany.com/wp-content/uploads/2024/12/2024-Big-Book-of-Airline-Data-by-IdeaWorks-1.2.pdf</x:v>
      </x:c>
      <x:c r="P141" s="26" t="str"/>
    </x:row>
    <x:row r="142">
      <x:c r="A142" t="n">
        <x:v>139</x:v>
      </x:c>
      <x:c r="B142" s="26" t="str">
        <x:v>MileagePlus</x:v>
      </x:c>
      <x:c r="C142" s="26" t="str">
        <x:v>United Airlines Holdings</x:v>
      </x:c>
      <x:c r="D142" s="26" t="str">
        <x:v>Airlines</x:v>
      </x:c>
      <x:c r="E142" s="26" t="str">
        <x:v>Global</x:v>
      </x:c>
      <x:c r="F142" s="28" t="n">
        <x:v>110</x:v>
      </x:c>
      <x:c r="G142" s="26" t="n">
        <x:v>2023</x:v>
      </x:c>
      <x:c r="H142" s="26" t="str">
        <x:v>Members</x:v>
      </x:c>
      <x:c r="I142" s="26" t="str">
        <x:v>2023</x:v>
      </x:c>
      <x:c r="J142" s="26" t="str">
        <x:v>Current (≤4 years)</x:v>
      </x:c>
      <x:c r="K142" s="26" t="str">
        <x:v>C</x:v>
      </x:c>
      <x:c r="L142" s="26" t="str">
        <x:v>2024 airline industry report with cited underlying source</x:v>
      </x:c>
      <x:c r="M142" s="26" t="str">
        <x:v>United disclosure reported by NJ.com, Dec 2023</x:v>
      </x:c>
      <x:c r="N142" s="26" t="str">
        <x:v>2024 Big Book of Airline Data</x:v>
      </x:c>
      <x:c r="O142" s="26" t="str">
        <x:v>https://ideaworkscompany.com/wp-content/uploads/2024/12/2024-Big-Book-of-Airline-Data-by-IdeaWorks-1.2.pdf</x:v>
      </x:c>
      <x:c r="P142" s="26" t="str"/>
    </x:row>
    <x:row r="143">
      <x:c r="A143" t="n">
        <x:v>140</x:v>
      </x:c>
      <x:c r="B143" s="26" t="str">
        <x:v>Lotusmiles</x:v>
      </x:c>
      <x:c r="C143" s="26" t="str">
        <x:v>Vietnam Airlines</x:v>
      </x:c>
      <x:c r="D143" s="26" t="str">
        <x:v>Airlines</x:v>
      </x:c>
      <x:c r="E143" s="26" t="str">
        <x:v>Vietnam / Global</x:v>
      </x:c>
      <x:c r="F143" s="28" t="n">
        <x:v>5.323196</x:v>
      </x:c>
      <x:c r="G143" s="26" t="n">
        <x:v>2023</x:v>
      </x:c>
      <x:c r="H143" s="26" t="str">
        <x:v>Members</x:v>
      </x:c>
      <x:c r="I143" s="26" t="str">
        <x:v>2024</x:v>
      </x:c>
      <x:c r="J143" s="26" t="str">
        <x:v>Current (≤4 years)</x:v>
      </x:c>
      <x:c r="K143" s="26" t="str">
        <x:v>B</x:v>
      </x:c>
      <x:c r="L143" s="26" t="str">
        <x:v>2024 airline industry report with cited underlying source</x:v>
      </x:c>
      <x:c r="M143" s="26" t="str">
        <x:v>Vietnam Airlines Annual Report 2023</x:v>
      </x:c>
      <x:c r="N143" s="26" t="str">
        <x:v>2024 Big Book of Airline Data</x:v>
      </x:c>
      <x:c r="O143" s="26" t="str">
        <x:v>https://ideaworkscompany.com/wp-content/uploads/2024/12/2024-Big-Book-of-Airline-Data-by-IdeaWorks-1.2.pdf</x:v>
      </x:c>
      <x:c r="P143" s="26" t="str"/>
    </x:row>
    <x:row r="144">
      <x:c r="A144" t="n">
        <x:v>141</x:v>
      </x:c>
      <x:c r="B144" s="26" t="str">
        <x:v>Velocity Frequent Flyer</x:v>
      </x:c>
      <x:c r="C144" s="26" t="str">
        <x:v>Virgin Australia</x:v>
      </x:c>
      <x:c r="D144" s="26" t="str">
        <x:v>Airlines</x:v>
      </x:c>
      <x:c r="E144" s="26" t="str">
        <x:v>Australia / Global</x:v>
      </x:c>
      <x:c r="F144" s="28" t="n">
        <x:v>11.5</x:v>
      </x:c>
      <x:c r="G144" s="26" t="n">
        <x:v>2023</x:v>
      </x:c>
      <x:c r="H144" s="26" t="str">
        <x:v>Members</x:v>
      </x:c>
      <x:c r="I144" s="26" t="str">
        <x:v>2023</x:v>
      </x:c>
      <x:c r="J144" s="26" t="str">
        <x:v>Current (≤4 years)</x:v>
      </x:c>
      <x:c r="K144" s="26" t="str">
        <x:v>B</x:v>
      </x:c>
      <x:c r="L144" s="26" t="str">
        <x:v>2024 airline industry report with cited underlying source</x:v>
      </x:c>
      <x:c r="M144" s="26" t="str">
        <x:v>Virgin Australia press release, Oct 2023</x:v>
      </x:c>
      <x:c r="N144" s="26" t="str">
        <x:v>2024 Big Book of Airline Data</x:v>
      </x:c>
      <x:c r="O144" s="26" t="str">
        <x:v>https://ideaworkscompany.com/wp-content/uploads/2024/12/2024-Big-Book-of-Airline-Data-by-IdeaWorks-1.2.pdf</x:v>
      </x:c>
      <x:c r="P144" s="26" t="str"/>
    </x:row>
    <x:row r="145">
      <x:c r="A145" t="n">
        <x:v>142</x:v>
      </x:c>
      <x:c r="B145" s="26" t="str">
        <x:v>Doters</x:v>
      </x:c>
      <x:c r="C145" s="26" t="str">
        <x:v>Viva Aerobus</x:v>
      </x:c>
      <x:c r="D145" s="26" t="str">
        <x:v>Airlines</x:v>
      </x:c>
      <x:c r="E145" s="26" t="str">
        <x:v>Mexico</x:v>
      </x:c>
      <x:c r="F145" s="28" t="n">
        <x:v>3</x:v>
      </x:c>
      <x:c r="G145" s="26" t="n">
        <x:v>2022</x:v>
      </x:c>
      <x:c r="H145" s="26" t="str">
        <x:v>Projected members</x:v>
      </x:c>
      <x:c r="I145" s="26" t="str">
        <x:v>2023</x:v>
      </x:c>
      <x:c r="J145" s="26" t="str">
        <x:v>Current (≤4 years)</x:v>
      </x:c>
      <x:c r="K145" s="26" t="str">
        <x:v>C</x:v>
      </x:c>
      <x:c r="L145" s="26" t="str">
        <x:v>2024 airline industry report with cited underlying source</x:v>
      </x:c>
      <x:c r="M145" s="26" t="str">
        <x:v>Viva Aerobus Annual Report / projection</x:v>
      </x:c>
      <x:c r="N145" s="26" t="str">
        <x:v>2024 Big Book of Airline Data</x:v>
      </x:c>
      <x:c r="O145" s="26" t="str">
        <x:v>https://ideaworkscompany.com/wp-content/uploads/2024/12/2024-Big-Book-of-Airline-Data-by-IdeaWorks-1.2.pdf</x:v>
      </x:c>
      <x:c r="P145" s="26" t="str"/>
    </x:row>
    <x:row r="146">
      <x:c r="A146" t="n">
        <x:v>143</x:v>
      </x:c>
      <x:c r="B146" s="26" t="str">
        <x:v>Lidl Plus</x:v>
      </x:c>
      <x:c r="C146" s="26" t="str">
        <x:v>Lidl Stiftung / Schwarz Group</x:v>
      </x:c>
      <x:c r="D146" s="26" t="str">
        <x:v>Retail &amp; grocery</x:v>
      </x:c>
      <x:c r="E146" s="26" t="str">
        <x:v>Global</x:v>
      </x:c>
      <x:c r="F146" s="28" t="n">
        <x:v>100</x:v>
      </x:c>
      <x:c r="G146" s="26" t="n">
        <x:v>2025</x:v>
      </x:c>
      <x:c r="H146" s="26" t="str">
        <x:v>App users (over)</x:v>
      </x:c>
      <x:c r="I146" s="26" t="str">
        <x:v>Apr-2025</x:v>
      </x:c>
      <x:c r="J146" s="26" t="str">
        <x:v>Current (≤4 years)</x:v>
      </x:c>
      <x:c r="K146" s="26" t="str">
        <x:v>A</x:v>
      </x:c>
      <x:c r="L146" s="26" t="str">
        <x:v>Official company source</x:v>
      </x:c>
      <x:c r="M146" s="26" t="str">
        <x:v>Lidl to trial Click, Reserve &amp; Collect via Lidl Plus</x:v>
      </x:c>
      <x:c r="N146" s="26" t="str">
        <x:v>Lidl to trial Click, Reserve &amp; Collect via Lidl Plus</x:v>
      </x:c>
      <x:c r="O146" s="26" t="str">
        <x:v>https://corporate.lidl.co.uk/media-centre/pressreleases/2025/lidl-to-trial-click-reserve-collect-via-lidl-plus</x:v>
      </x:c>
      <x:c r="P146" s="26" t="str"/>
    </x:row>
    <x:row r="147">
      <x:c r="A147" t="n">
        <x:v>144</x:v>
      </x:c>
      <x:c r="B147" s="26" t="str">
        <x:v>Ponta</x:v>
      </x:c>
      <x:c r="C147" s="26" t="str">
        <x:v>Loyalty Marketing, Inc. / Mitsubishi Corporation</x:v>
      </x:c>
      <x:c r="D147" s="26" t="str">
        <x:v>Coalition &amp; points</x:v>
      </x:c>
      <x:c r="E147" s="26" t="str">
        <x:v>Japan</x:v>
      </x:c>
      <x:c r="F147" s="28" t="n">
        <x:v>117.4</x:v>
      </x:c>
      <x:c r="G147" s="26" t="n">
        <x:v>2024</x:v>
      </x:c>
      <x:c r="H147" s="26" t="str">
        <x:v>Members</x:v>
      </x:c>
      <x:c r="I147" s="26" t="str">
        <x:v>Apr-2024</x:v>
      </x:c>
      <x:c r="J147" s="26" t="str">
        <x:v>Current (≤4 years)</x:v>
      </x:c>
      <x:c r="K147" s="26" t="str">
        <x:v>A</x:v>
      </x:c>
      <x:c r="L147" s="26" t="str">
        <x:v>Official company source</x:v>
      </x:c>
      <x:c r="M147" s="26" t="str">
        <x:v>Mitsubishi Corporation — Loyalty Marketing project profile</x:v>
      </x:c>
      <x:c r="N147" s="26" t="str">
        <x:v>Mitsubishi Corporation — Loyalty Marketing project profile</x:v>
      </x:c>
      <x:c r="O147" s="26" t="str">
        <x:v>https://www.mitsubishicorp.com/jp/en/about/project/loyalty-marketing/</x:v>
      </x:c>
      <x:c r="P147" s="26" t="str"/>
    </x:row>
    <x:row r="148">
      <x:c r="A148" t="n">
        <x:v>145</x:v>
      </x:c>
      <x:c r="B148" s="26" t="str">
        <x:v>d POINT CLUB</x:v>
      </x:c>
      <x:c r="C148" s="26" t="str">
        <x:v>NTT DOCOMO</x:v>
      </x:c>
      <x:c r="D148" s="26" t="str">
        <x:v>Coalition &amp; points</x:v>
      </x:c>
      <x:c r="E148" s="26" t="str">
        <x:v>Japan</x:v>
      </x:c>
      <x:c r="F148" s="28" t="n">
        <x:v>106.03</x:v>
      </x:c>
      <x:c r="G148" s="26" t="n">
        <x:v>2025</x:v>
      </x:c>
      <x:c r="H148" s="26" t="str">
        <x:v>Members (approx.)</x:v>
      </x:c>
      <x:c r="I148" s="26" t="str">
        <x:v>Jun-2025</x:v>
      </x:c>
      <x:c r="J148" s="26" t="str">
        <x:v>Current (≤4 years)</x:v>
      </x:c>
      <x:c r="K148" s="26" t="str">
        <x:v>A</x:v>
      </x:c>
      <x:c r="L148" s="26" t="str">
        <x:v>Official company source</x:v>
      </x:c>
      <x:c r="M148" s="26" t="str">
        <x:v>NTT DOCOMO Group Sustainability Report 2025</x:v>
      </x:c>
      <x:c r="N148" s="26" t="str">
        <x:v>NTT DOCOMO Group Sustainability Report 2025</x:v>
      </x:c>
      <x:c r="O148" s="26" t="str">
        <x:v>https://www.docomo.ne.jp/english/binary/pdf/corporate/csr/about/pdf/e_csr2025w_all.pdf?ver=1766649614</x:v>
      </x:c>
      <x:c r="P148" s="26" t="str"/>
    </x:row>
    <x:row r="149">
      <x:c r="A149" t="n">
        <x:v>146</x:v>
      </x:c>
      <x:c r="B149" s="26" t="str">
        <x:v>Triangle Rewards</x:v>
      </x:c>
      <x:c r="C149" s="26" t="str">
        <x:v>Canadian Tire Corporation</x:v>
      </x:c>
      <x:c r="D149" s="26" t="str">
        <x:v>Coalition &amp; retail</x:v>
      </x:c>
      <x:c r="E149" s="26" t="str">
        <x:v>Canada</x:v>
      </x:c>
      <x:c r="F149" s="28" t="n">
        <x:v>12</x:v>
      </x:c>
      <x:c r="G149" s="26" t="n">
        <x:v>2026</x:v>
      </x:c>
      <x:c r="H149" s="26" t="str">
        <x:v>Members (over)</x:v>
      </x:c>
      <x:c r="I149" s="26" t="str">
        <x:v>Mar-2026</x:v>
      </x:c>
      <x:c r="J149" s="26" t="str">
        <x:v>Current (≤4 years)</x:v>
      </x:c>
      <x:c r="K149" s="26" t="str">
        <x:v>A</x:v>
      </x:c>
      <x:c r="L149" s="26" t="str">
        <x:v>Official company source</x:v>
      </x:c>
      <x:c r="M149" s="26" t="str">
        <x:v>Canadian Tire and WestJet loyalty partnership</x:v>
      </x:c>
      <x:c r="N149" s="26" t="str">
        <x:v>Canadian Tire and WestJet loyalty partnership</x:v>
      </x:c>
      <x:c r="O149" s="26" t="str">
        <x:v>https://corp.canadiantire.ca/English/media/news-releases/press-release-details/2026/Canadians-can-now-spend-once-and-earn-twice-with-innovative-Canadian-Tire-Corporation-and-WestJet-loyalty-partnership/default.aspx</x:v>
      </x:c>
      <x:c r="P149" s="26" t="str">
        <x:v>Canadian Tire reported 9.8m active registered members in FY2025 results; 12m is total membership.</x:v>
      </x:c>
    </x:row>
    <x:row r="150">
      <x:c r="A150" t="n">
        <x:v>147</x:v>
      </x:c>
      <x:c r="B150" s="26" t="str">
        <x:v>PC Optimum</x:v>
      </x:c>
      <x:c r="C150" s="26" t="str">
        <x:v>Loblaw Companies</x:v>
      </x:c>
      <x:c r="D150" s="26" t="str">
        <x:v>Retail &amp; grocery</x:v>
      </x:c>
      <x:c r="E150" s="26" t="str">
        <x:v>Canada</x:v>
      </x:c>
      <x:c r="F150" s="28" t="n">
        <x:v>18</x:v>
      </x:c>
      <x:c r="G150" s="26" t="n">
        <x:v>2024</x:v>
      </x:c>
      <x:c r="H150" s="26" t="str">
        <x:v>Members (over)</x:v>
      </x:c>
      <x:c r="I150" s="26" t="str">
        <x:v>Feb-2024</x:v>
      </x:c>
      <x:c r="J150" s="26" t="str">
        <x:v>Current (≤4 years)</x:v>
      </x:c>
      <x:c r="K150" s="26" t="str">
        <x:v>A</x:v>
      </x:c>
      <x:c r="L150" s="26" t="str">
        <x:v>Official company source</x:v>
      </x:c>
      <x:c r="M150" s="26" t="str">
        <x:v>Loblaw to invest more than $2 billion in the Canadian economy</x:v>
      </x:c>
      <x:c r="N150" s="26" t="str">
        <x:v>Loblaw to invest more than $2 billion in the Canadian economy</x:v>
      </x:c>
      <x:c r="O150" s="26" t="str">
        <x:v>https://www.loblaw.ca/en/loblaw-to-invest-more-than-2-billion-in-the-canadian-economy-creating-thousands-of-jobs-and-opening-more-than-40-additional-stores/</x:v>
      </x:c>
      <x:c r="P150" s="26" t="str"/>
    </x:row>
    <x:row r="151">
      <x:c r="A151" t="n">
        <x:v>148</x:v>
      </x:c>
      <x:c r="B151" s="26" t="str">
        <x:v>Flybuys Australia</x:v>
      </x:c>
      <x:c r="C151" s="26" t="str">
        <x:v>Flybuys / Coles and Wesfarmers</x:v>
      </x:c>
      <x:c r="D151" s="26" t="str">
        <x:v>Coalition &amp; points</x:v>
      </x:c>
      <x:c r="E151" s="26" t="str">
        <x:v>Australia</x:v>
      </x:c>
      <x:c r="F151" s="28" t="n">
        <x:v>9.5</x:v>
      </x:c>
      <x:c r="G151" s="26" t="n">
        <x:v>2024</x:v>
      </x:c>
      <x:c r="H151" s="26" t="str">
        <x:v>Members (over)</x:v>
      </x:c>
      <x:c r="I151" s="26" t="str">
        <x:v>Dec-2024</x:v>
      </x:c>
      <x:c r="J151" s="26" t="str">
        <x:v>Current (≤4 years)</x:v>
      </x:c>
      <x:c r="K151" s="26" t="str">
        <x:v>A</x:v>
      </x:c>
      <x:c r="L151" s="26" t="str">
        <x:v>Official company source</x:v>
      </x:c>
      <x:c r="M151" s="26" t="str">
        <x:v>Flybuys Modern Slavery Statement 2024</x:v>
      </x:c>
      <x:c r="N151" s="26" t="str">
        <x:v>Flybuys Modern Slavery Statement 2024</x:v>
      </x:c>
      <x:c r="O151" s="26" t="str">
        <x:v>https://modernslaveryregister.gov.au/statements/zocPHKj93MjJKDf/pdf/</x:v>
      </x:c>
      <x:c r="P151" s="26" t="str"/>
    </x:row>
    <x:row r="152">
      <x:c r="A152" t="n">
        <x:v>149</x:v>
      </x:c>
      <x:c r="B152" s="26" t="str">
        <x:v>Radisson Rewards</x:v>
      </x:c>
      <x:c r="C152" s="26" t="str">
        <x:v>Radisson Hotel Group</x:v>
      </x:c>
      <x:c r="D152" s="26" t="str">
        <x:v>Hotels</x:v>
      </x:c>
      <x:c r="E152" s="26" t="str">
        <x:v>Global</x:v>
      </x:c>
      <x:c r="F152" s="28" t="n">
        <x:v>27</x:v>
      </x:c>
      <x:c r="G152" s="26" t="n">
        <x:v>2026</x:v>
      </x:c>
      <x:c r="H152" s="26" t="str">
        <x:v>Members (over)</x:v>
      </x:c>
      <x:c r="I152" s="26" t="str">
        <x:v>Feb-2026</x:v>
      </x:c>
      <x:c r="J152" s="26" t="str">
        <x:v>Current (≤4 years)</x:v>
      </x:c>
      <x:c r="K152" s="26" t="str">
        <x:v>A</x:v>
      </x:c>
      <x:c r="L152" s="26" t="str">
        <x:v>Official company source</x:v>
      </x:c>
      <x:c r="M152" s="26" t="str">
        <x:v>Radisson Rewards launches new partnerships</x:v>
      </x:c>
      <x:c r="N152" s="26" t="str">
        <x:v>Radisson Rewards launches new partnerships</x:v>
      </x:c>
      <x:c r="O152" s="26" t="str">
        <x:v>https://www.radissonhotels.com/en-us/corporate/media/press-releases/Radisson-Rewards-launches-a-raft-of-new-partnerships-to-benefit-its-27-million-plus-members</x:v>
      </x:c>
      <x:c r="P152" s="26" t="str"/>
    </x:row>
    <x:row r="153">
      <x:c r="A153" t="n">
        <x:v>150</x:v>
      </x:c>
      <x:c r="B153" s="26" t="str">
        <x:v>MeliáRewards</x:v>
      </x:c>
      <x:c r="C153" s="26" t="str">
        <x:v>Meliá Hotels International</x:v>
      </x:c>
      <x:c r="D153" s="26" t="str">
        <x:v>Hotels</x:v>
      </x:c>
      <x:c r="E153" s="26" t="str">
        <x:v>Global</x:v>
      </x:c>
      <x:c r="F153" s="28" t="n">
        <x:v>19</x:v>
      </x:c>
      <x:c r="G153" s="26" t="n">
        <x:v>2025</x:v>
      </x:c>
      <x:c r="H153" s="26" t="str">
        <x:v>Members (approaching)</x:v>
      </x:c>
      <x:c r="I153" s="26" t="str">
        <x:v>Feb-2026</x:v>
      </x:c>
      <x:c r="J153" s="26" t="str">
        <x:v>Current (≤4 years)</x:v>
      </x:c>
      <x:c r="K153" s="26" t="str">
        <x:v>A</x:v>
      </x:c>
      <x:c r="L153" s="26" t="str">
        <x:v>Official company source</x:v>
      </x:c>
      <x:c r="M153" s="26" t="str">
        <x:v>Meliá Hotels International FY2025 results</x:v>
      </x:c>
      <x:c r="N153" s="26" t="str">
        <x:v>Meliá Hotels International FY2025 results</x:v>
      </x:c>
      <x:c r="O153" s="26" t="str">
        <x:v>https://www.meliahotelsinternational.com/en/shareholdersAndInvestors/PublicDocs/2025/Q4%202025/MHI%20Release%2012M2025_EN.pdf</x:v>
      </x:c>
      <x:c r="P153" s="26" t="str"/>
    </x:row>
    <x:row r="154">
      <x:c r="A154" t="n">
        <x:v>151</x:v>
      </x:c>
      <x:c r="B154" s="26" t="str">
        <x:v>Target Circle</x:v>
      </x:c>
      <x:c r="C154" s="26" t="str">
        <x:v>Target Corporation</x:v>
      </x:c>
      <x:c r="D154" s="26" t="str">
        <x:v>Retail &amp; grocery</x:v>
      </x:c>
      <x:c r="E154" s="26" t="str">
        <x:v>United States</x:v>
      </x:c>
      <x:c r="F154" s="28" t="n">
        <x:v>100</x:v>
      </x:c>
      <x:c r="G154" s="26" t="n">
        <x:v>2024</x:v>
      </x:c>
      <x:c r="H154" s="26" t="str">
        <x:v>Members (over)</x:v>
      </x:c>
      <x:c r="I154" s="26" t="str">
        <x:v>Mar-2024</x:v>
      </x:c>
      <x:c r="J154" s="26" t="str">
        <x:v>Current (≤4 years)</x:v>
      </x:c>
      <x:c r="K154" s="26" t="str">
        <x:v>A</x:v>
      </x:c>
      <x:c r="L154" s="26" t="str">
        <x:v>Official company source</x:v>
      </x:c>
      <x:c r="M154" s="26" t="str">
        <x:v>Target announces enhanced shopping experience</x:v>
      </x:c>
      <x:c r="N154" s="26" t="str">
        <x:v>Target announces enhanced shopping experience</x:v>
      </x:c>
      <x:c r="O154" s="26" t="str">
        <x:v>https://corporate.target.com/press/release/2024/03/target-announces-plans-to-deliver-enhanced-shopping-experience-in-2024-and-beyond</x:v>
      </x:c>
      <x:c r="P154" s="26" t="str"/>
    </x:row>
    <x:row r="155">
      <x:c r="A155" t="n">
        <x:v>152</x:v>
      </x:c>
      <x:c r="B155" s="26" t="str">
        <x:v>Everyday Rewards</x:v>
      </x:c>
      <x:c r="C155" s="26" t="str">
        <x:v>Woolworths Group</x:v>
      </x:c>
      <x:c r="D155" s="26" t="str">
        <x:v>Retail &amp; grocery</x:v>
      </x:c>
      <x:c r="E155" s="26" t="str">
        <x:v>Australia / New Zealand</x:v>
      </x:c>
      <x:c r="F155" s="28" t="n">
        <x:v>14.5</x:v>
      </x:c>
      <x:c r="G155" s="26" t="n">
        <x:v>2023</x:v>
      </x:c>
      <x:c r="H155" s="26" t="str">
        <x:v>Registered members</x:v>
      </x:c>
      <x:c r="I155" s="26" t="str">
        <x:v>Aug-2023</x:v>
      </x:c>
      <x:c r="J155" s="26" t="str">
        <x:v>Current (≤4 years)</x:v>
      </x:c>
      <x:c r="K155" s="26" t="str">
        <x:v>A</x:v>
      </x:c>
      <x:c r="L155" s="26" t="str">
        <x:v>Official company source</x:v>
      </x:c>
      <x:c r="M155" s="26" t="str">
        <x:v>Woolworths Group FY2023 Profit Announcement</x:v>
      </x:c>
      <x:c r="N155" s="26" t="str">
        <x:v>Woolworths Group FY2023 Profit Announcement</x:v>
      </x:c>
      <x:c r="O155" s="26" t="str">
        <x:v>https://www.woolworthsgroup.com.au/content/dam/wwg/investors/reports/f23/full-year/Woolworths%20Group%20F23%20Profit%20Announcement.pdf</x:v>
      </x:c>
      <x:c r="P155" s="26" t="str">
        <x:v>Woolworths later reported 10.4m active members in FY2025; 14.5m is the registered-member figure.</x:v>
      </x:c>
    </x:row>
    <x:row r="156">
      <x:c r="A156" t="n">
        <x:v>153</x:v>
      </x:c>
      <x:c r="B156" s="26" t="str">
        <x:v>GHA DISCOVERY</x:v>
      </x:c>
      <x:c r="C156" s="26" t="str">
        <x:v>Global Hotel Alliance</x:v>
      </x:c>
      <x:c r="D156" s="26" t="str">
        <x:v>Hotels</x:v>
      </x:c>
      <x:c r="E156" s="26" t="str">
        <x:v>Global</x:v>
      </x:c>
      <x:c r="F156" s="28" t="n">
        <x:v>32</x:v>
      </x:c>
      <x:c r="G156" s="26" t="n">
        <x:v>2025</x:v>
      </x:c>
      <x:c r="H156" s="26" t="str">
        <x:v>Members (over)</x:v>
      </x:c>
      <x:c r="I156" s="26" t="str">
        <x:v>Oct-2025</x:v>
      </x:c>
      <x:c r="J156" s="26" t="str">
        <x:v>Current (≤4 years)</x:v>
      </x:c>
      <x:c r="K156" s="26" t="str">
        <x:v>A</x:v>
      </x:c>
      <x:c r="L156" s="26" t="str">
        <x:v>Official company source</x:v>
      </x:c>
      <x:c r="M156" s="26" t="str">
        <x:v>GHA Q3 2025 performance release</x:v>
      </x:c>
      <x:c r="N156" s="26" t="str">
        <x:v>GHA Q3 2025 performance release</x:v>
      </x:c>
      <x:c r="O156" s="26" t="str">
        <x:v>https://www.ghadiscovery.com/content/download/273034/file/GLOBAL%20HOTEL%20ALLIANCE%20REPORTS%20SOLID%20Q3%20PERFORMANCE.pdf?inline=1&amp;version=1</x:v>
      </x:c>
      <x:c r="P156" s="26" t="str"/>
    </x:row>
    <x:row r="157">
      <x:c r="A157" t="n">
        <x:v>154</x:v>
      </x:c>
      <x:c r="B157" s="26" t="str">
        <x:v>JAL Mileage Bank</x:v>
      </x:c>
      <x:c r="C157" s="26" t="str">
        <x:v>Japan Airlines</x:v>
      </x:c>
      <x:c r="D157" s="26" t="str">
        <x:v>Airlines</x:v>
      </x:c>
      <x:c r="E157" s="26" t="str">
        <x:v>Japan / Global</x:v>
      </x:c>
      <x:c r="F157" s="28" t="n">
        <x:v>40</x:v>
      </x:c>
      <x:c r="G157" s="26" t="n">
        <x:v>2025</x:v>
      </x:c>
      <x:c r="H157" s="26" t="str">
        <x:v>Members (approx.)</x:v>
      </x:c>
      <x:c r="I157" s="26" t="str">
        <x:v>Aug-2025</x:v>
      </x:c>
      <x:c r="J157" s="26" t="str">
        <x:v>Current (≤4 years)</x:v>
      </x:c>
      <x:c r="K157" s="26" t="str">
        <x:v>A</x:v>
      </x:c>
      <x:c r="L157" s="26" t="str">
        <x:v>Official company source</x:v>
      </x:c>
      <x:c r="M157" s="26" t="str">
        <x:v>JAL Report 2025</x:v>
      </x:c>
      <x:c r="N157" s="26" t="str">
        <x:v>JAL Report 2025</x:v>
      </x:c>
      <x:c r="O157" s="26" t="str">
        <x:v>https://www.jal.com/sites/en/sustainability/report/pdf_sites/index_2025b.pdf</x:v>
      </x:c>
      <x:c r="P157" s="26" t="str"/>
    </x:row>
    <x:row r="158">
      <x:c r="A158" t="n">
        <x:v>155</x:v>
      </x:c>
      <x:c r="B158" s="26" t="str">
        <x:v>Velocity Frequent Flyer</x:v>
      </x:c>
      <x:c r="C158" s="26" t="str">
        <x:v>Virgin Australia</x:v>
      </x:c>
      <x:c r="D158" s="26" t="str">
        <x:v>Airlines</x:v>
      </x:c>
      <x:c r="E158" s="26" t="str">
        <x:v>Australia / Global</x:v>
      </x:c>
      <x:c r="F158" s="28" t="n">
        <x:v>12</x:v>
      </x:c>
      <x:c r="G158" s="26" t="n">
        <x:v>2024</x:v>
      </x:c>
      <x:c r="H158" s="26" t="str">
        <x:v>Members (over)</x:v>
      </x:c>
      <x:c r="I158" s="26" t="str">
        <x:v>Oct-2024</x:v>
      </x:c>
      <x:c r="J158" s="26" t="str">
        <x:v>Current (≤4 years)</x:v>
      </x:c>
      <x:c r="K158" s="26" t="str">
        <x:v>A</x:v>
      </x:c>
      <x:c r="L158" s="26" t="str">
        <x:v>Official company source</x:v>
      </x:c>
      <x:c r="M158" s="26" t="str">
        <x:v>Virgin Australia FY2024 results</x:v>
      </x:c>
      <x:c r="N158" s="26" t="str">
        <x:v>Virgin Australia FY2024 results</x:v>
      </x:c>
      <x:c r="O158" s="26" t="str">
        <x:v>https://www.virginaustralia.com/uk/en/newsroom/2024/10/virgin-australia-delivers-strong-fy24-results-driven-ongoing-transformation/</x:v>
      </x:c>
      <x:c r="P158" s="26" t="str"/>
    </x:row>
    <x:row r="159">
      <x:c r="A159" t="n">
        <x:v>156</x:v>
      </x:c>
      <x:c r="B159" s="26" t="str">
        <x:v>Tims Rewards</x:v>
      </x:c>
      <x:c r="C159" s="26" t="str">
        <x:v>Tim Hortons / Restaurant Brands International</x:v>
      </x:c>
      <x:c r="D159" s="26" t="str">
        <x:v>Restaurants &amp; QSR</x:v>
      </x:c>
      <x:c r="E159" s="26" t="str">
        <x:v>Canada</x:v>
      </x:c>
      <x:c r="F159" s="28" t="n">
        <x:v>7</x:v>
      </x:c>
      <x:c r="G159" s="26" t="n">
        <x:v>2026</x:v>
      </x:c>
      <x:c r="H159" s="26" t="str">
        <x:v>Active members (over)</x:v>
      </x:c>
      <x:c r="I159" s="26" t="str">
        <x:v>Mar-2026</x:v>
      </x:c>
      <x:c r="J159" s="26" t="str">
        <x:v>Current (≤4 years)</x:v>
      </x:c>
      <x:c r="K159" s="26" t="str">
        <x:v>A</x:v>
      </x:c>
      <x:c r="L159" s="26" t="str">
        <x:v>Official company source</x:v>
      </x:c>
      <x:c r="M159" s="26" t="str">
        <x:v>Tim Hortons priorities for 2026</x:v>
      </x:c>
      <x:c r="N159" s="26" t="str">
        <x:v>Tim Hortons priorities for 2026</x:v>
      </x:c>
      <x:c r="O159" s="26" t="str">
        <x:v>https://www.news.timhortons.ca/en/articles/what-s-brewing-for-2026--five-tim-hortons-priorities-for-serving</x:v>
      </x:c>
      <x:c r="P159" s="26" t="str"/>
    </x:row>
    <x:row r="160">
      <x:c r="A160" t="n">
        <x:v>157</x:v>
      </x:c>
      <x:c r="B160" s="26" t="str">
        <x:v>Tims China loyalty club</x:v>
      </x:c>
      <x:c r="C160" s="26" t="str">
        <x:v>TH International / Tim Hortons China</x:v>
      </x:c>
      <x:c r="D160" s="26" t="str">
        <x:v>Restaurants &amp; QSR</x:v>
      </x:c>
      <x:c r="E160" s="26" t="str">
        <x:v>China</x:v>
      </x:c>
      <x:c r="F160" s="28" t="n">
        <x:v>12</x:v>
      </x:c>
      <x:c r="G160" s="26" t="n">
        <x:v>2023</x:v>
      </x:c>
      <x:c r="H160" s="26" t="str">
        <x:v>Loyalty club members (over)</x:v>
      </x:c>
      <x:c r="I160" s="26" t="str">
        <x:v>Mar-2023</x:v>
      </x:c>
      <x:c r="J160" s="26" t="str">
        <x:v>Current (≤4 years)</x:v>
      </x:c>
      <x:c r="K160" s="26" t="str">
        <x:v>A</x:v>
      </x:c>
      <x:c r="L160" s="26" t="str">
        <x:v>Official company source</x:v>
      </x:c>
      <x:c r="M160" s="26" t="str">
        <x:v>Tims China announces addition of Popeyes</x:v>
      </x:c>
      <x:c r="N160" s="26" t="str">
        <x:v>Tims China announces addition of Popeyes</x:v>
      </x:c>
      <x:c r="O160" s="26" t="str">
        <x:v>https://www.rbi.com/English/news/news-details/2023/Tims-China-Announces-Addition-of-Popeyes-Chicken-Brand/default.aspx</x:v>
      </x:c>
      <x:c r="P160" s="26" t="str"/>
    </x:row>
    <x:row r="161">
      <x:c r="A161" t="n">
        <x:v>158</x:v>
      </x:c>
      <x:c r="B161" s="26" t="str">
        <x:v>dm active beauty</x:v>
      </x:c>
      <x:c r="C161" s="26" t="str">
        <x:v>dm-drogerie markt Czech Republic</x:v>
      </x:c>
      <x:c r="D161" s="26" t="str">
        <x:v>Retail &amp; beauty</x:v>
      </x:c>
      <x:c r="E161" s="26" t="str">
        <x:v>Czech Republic</x:v>
      </x:c>
      <x:c r="F161" s="28" t="n">
        <x:v>1.9</x:v>
      </x:c>
      <x:c r="G161" s="26" t="n">
        <x:v>2026</x:v>
      </x:c>
      <x:c r="H161" s="26" t="str">
        <x:v>Active users (over)</x:v>
      </x:c>
      <x:c r="I161" s="26" t="str">
        <x:v>Feb-2026</x:v>
      </x:c>
      <x:c r="J161" s="26" t="str">
        <x:v>Current (≤4 years)</x:v>
      </x:c>
      <x:c r="K161" s="26" t="str">
        <x:v>A</x:v>
      </x:c>
      <x:c r="L161" s="26" t="str">
        <x:v>Official company source</x:v>
      </x:c>
      <x:c r="M161" s="26" t="str">
        <x:v>dm leads in customer experience</x:v>
      </x:c>
      <x:c r="N161" s="26" t="str">
        <x:v>dm leads in customer experience</x:v>
      </x:c>
      <x:c r="O161" s="26" t="str">
        <x:v>https://www.dm.cz/o-spolecnosti/presscentrum/tiskove-zpravy/svet-dm/dm-vede-v-zakaznicke-zkusenosti-16-02-2026-3301580</x:v>
      </x:c>
      <x:c r="P161" s="26" t="str"/>
    </x:row>
    <x:row r="162">
      <x:c r="A162" t="n">
        <x:v>159</x:v>
      </x:c>
      <x:c r="B162" s="26" t="str">
        <x:v>Marriott Bonvoy</x:v>
      </x:c>
      <x:c r="C162" s="26" t="str">
        <x:v>Marriott International</x:v>
      </x:c>
      <x:c r="D162" s="26" t="str">
        <x:v>Hotels</x:v>
      </x:c>
      <x:c r="E162" s="26" t="str">
        <x:v>Global</x:v>
      </x:c>
      <x:c r="F162" s="28" t="n">
        <x:v>271</x:v>
      </x:c>
      <x:c r="G162" s="26" t="n">
        <x:v>2025</x:v>
      </x:c>
      <x:c r="H162" s="26" t="str">
        <x:v>Registered members</x:v>
      </x:c>
      <x:c r="I162" s="26" t="str">
        <x:v>Feb-2026</x:v>
      </x:c>
      <x:c r="J162" s="26" t="str">
        <x:v>Current (≤4 years)</x:v>
      </x:c>
      <x:c r="K162" s="26" t="str">
        <x:v>A</x:v>
      </x:c>
      <x:c r="L162" s="26" t="str">
        <x:v>Official company source</x:v>
      </x:c>
      <x:c r="M162" s="26" t="str">
        <x:v>Marriott International 2025 Annual Report</x:v>
      </x:c>
      <x:c r="N162" s="26" t="str">
        <x:v>Marriott International 2025 Annual Report</x:v>
      </x:c>
      <x:c r="O162" s="26" t="str">
        <x:v>https://marriott.gcs-web.com/static-files/9cf0e9b0-bbfa-48a6-9e21-ffbdbc4b2d78</x:v>
      </x:c>
      <x:c r="P162" s="26" t="str"/>
    </x:row>
    <x:row r="163">
      <x:c r="A163" t="n">
        <x:v>160</x:v>
      </x:c>
      <x:c r="B163" s="26" t="str">
        <x:v>Hilton Honors</x:v>
      </x:c>
      <x:c r="C163" s="26" t="str">
        <x:v>Hilton Worldwide Holdings</x:v>
      </x:c>
      <x:c r="D163" s="26" t="str">
        <x:v>Hotels</x:v>
      </x:c>
      <x:c r="E163" s="26" t="str">
        <x:v>Global</x:v>
      </x:c>
      <x:c r="F163" s="28" t="n">
        <x:v>243</x:v>
      </x:c>
      <x:c r="G163" s="26" t="n">
        <x:v>2025</x:v>
      </x:c>
      <x:c r="H163" s="26" t="str">
        <x:v>Registered members</x:v>
      </x:c>
      <x:c r="I163" s="26" t="str">
        <x:v>Mar-2026</x:v>
      </x:c>
      <x:c r="J163" s="26" t="str">
        <x:v>Current (≤4 years)</x:v>
      </x:c>
      <x:c r="K163" s="26" t="str">
        <x:v>A</x:v>
      </x:c>
      <x:c r="L163" s="26" t="str">
        <x:v>Official company source</x:v>
      </x:c>
      <x:c r="M163" s="26" t="str">
        <x:v>Hilton 2025 Annual Report</x:v>
      </x:c>
      <x:c r="N163" s="26" t="str">
        <x:v>Hilton 2025 Annual Report</x:v>
      </x:c>
      <x:c r="O163" s="26" t="str">
        <x:v>https://stories-editor.hilton.com/wp-content/uploads/2026/03/Hilton-2025-Annual-Report-SEC-Form-10-K.pdf</x:v>
      </x:c>
      <x:c r="P163" s="26" t="str"/>
    </x:row>
    <x:row r="164">
      <x:c r="A164" t="n">
        <x:v>161</x:v>
      </x:c>
      <x:c r="B164" s="26" t="str">
        <x:v>IHG One Rewards</x:v>
      </x:c>
      <x:c r="C164" s="26" t="str">
        <x:v>InterContinental Hotels Group</x:v>
      </x:c>
      <x:c r="D164" s="26" t="str">
        <x:v>Hotels</x:v>
      </x:c>
      <x:c r="E164" s="26" t="str">
        <x:v>Global</x:v>
      </x:c>
      <x:c r="F164" s="28" t="n">
        <x:v>160</x:v>
      </x:c>
      <x:c r="G164" s="26" t="n">
        <x:v>2025</x:v>
      </x:c>
      <x:c r="H164" s="26" t="str">
        <x:v>Members (over)</x:v>
      </x:c>
      <x:c r="I164" s="26" t="str">
        <x:v>Feb-2026</x:v>
      </x:c>
      <x:c r="J164" s="26" t="str">
        <x:v>Current (≤4 years)</x:v>
      </x:c>
      <x:c r="K164" s="26" t="str">
        <x:v>A</x:v>
      </x:c>
      <x:c r="L164" s="26" t="str">
        <x:v>Official company source</x:v>
      </x:c>
      <x:c r="M164" s="26" t="str">
        <x:v>IHG Annual Report and Form 20-F 2025</x:v>
      </x:c>
      <x:c r="N164" s="26" t="str">
        <x:v>IHG Annual Report and Form 20-F 2025</x:v>
      </x:c>
      <x:c r="O164" s="26" t="str">
        <x:v>https://www.ihgplc.com/~/media/Files/I/Ihg-Plc/investors/annual-report/2025/ihg-ar25-interactive.pdf</x:v>
      </x:c>
      <x:c r="P164" s="26" t="str"/>
    </x:row>
    <x:row r="165">
      <x:c r="A165" t="n">
        <x:v>162</x:v>
      </x:c>
      <x:c r="B165" s="26" t="str">
        <x:v>ALL - Accor Live Limitless</x:v>
      </x:c>
      <x:c r="C165" s="26" t="str">
        <x:v>Accor</x:v>
      </x:c>
      <x:c r="D165" s="26" t="str">
        <x:v>Hotels</x:v>
      </x:c>
      <x:c r="E165" s="26" t="str">
        <x:v>Global</x:v>
      </x:c>
      <x:c r="F165" s="28" t="n">
        <x:v>110</x:v>
      </x:c>
      <x:c r="G165" s="26" t="n">
        <x:v>2025</x:v>
      </x:c>
      <x:c r="H165" s="26" t="str">
        <x:v>Members (over)</x:v>
      </x:c>
      <x:c r="I165" s="26" t="str">
        <x:v>Mar-2026</x:v>
      </x:c>
      <x:c r="J165" s="26" t="str">
        <x:v>Current (≤4 years)</x:v>
      </x:c>
      <x:c r="K165" s="26" t="str">
        <x:v>A</x:v>
      </x:c>
      <x:c r="L165" s="26" t="str">
        <x:v>Official company source</x:v>
      </x:c>
      <x:c r="M165" s="26" t="str">
        <x:v>Accor Integrated Report 2025</x:v>
      </x:c>
      <x:c r="N165" s="26" t="str">
        <x:v>Accor Integrated Report 2025</x:v>
      </x:c>
      <x:c r="O165" s="26" t="str">
        <x:v>https://assets.group.accor.com/yrj0orc8tx24/yMg4ParJIzpy1DzMN0kOQ/90a1cf55393deb7ff5f70b8d44c8ecda/Accor_Integrated_Report_2025.pdf</x:v>
      </x:c>
      <x:c r="P165" s="26" t="str"/>
    </x:row>
    <x:row r="166">
      <x:c r="A166" t="n">
        <x:v>163</x:v>
      </x:c>
      <x:c r="B166" s="26" t="str">
        <x:v>Wyndham Rewards</x:v>
      </x:c>
      <x:c r="C166" s="26" t="str">
        <x:v>Wyndham Hotels &amp; Resorts</x:v>
      </x:c>
      <x:c r="D166" s="26" t="str">
        <x:v>Hotels</x:v>
      </x:c>
      <x:c r="E166" s="26" t="str">
        <x:v>Global</x:v>
      </x:c>
      <x:c r="F166" s="28" t="n">
        <x:v>122</x:v>
      </x:c>
      <x:c r="G166" s="26" t="n">
        <x:v>2025</x:v>
      </x:c>
      <x:c r="H166" s="26" t="str">
        <x:v>Enrolled members (over)</x:v>
      </x:c>
      <x:c r="I166" s="26" t="str">
        <x:v>Feb-2026</x:v>
      </x:c>
      <x:c r="J166" s="26" t="str">
        <x:v>Current (≤4 years)</x:v>
      </x:c>
      <x:c r="K166" s="26" t="str">
        <x:v>A</x:v>
      </x:c>
      <x:c r="L166" s="26" t="str">
        <x:v>Official company source</x:v>
      </x:c>
      <x:c r="M166" s="26" t="str">
        <x:v>Wyndham 2025 Annual Report</x:v>
      </x:c>
      <x:c r="N166" s="26" t="str">
        <x:v>Wyndham 2025 Annual Report</x:v>
      </x:c>
      <x:c r="O166" s="26" t="str">
        <x:v>https://investor.wyndhamhotels.com/financial-information/all-sec-filings/content/0001722684-26-000052/a2025annualreport.pdf</x:v>
      </x:c>
      <x:c r="P166" s="26" t="str"/>
    </x:row>
    <x:row r="167">
      <x:c r="A167" t="n">
        <x:v>164</x:v>
      </x:c>
      <x:c r="B167" s="26" t="str">
        <x:v>Best Western Rewards</x:v>
      </x:c>
      <x:c r="C167" s="26" t="str">
        <x:v>BWH Hotels</x:v>
      </x:c>
      <x:c r="D167" s="26" t="str">
        <x:v>Hotels</x:v>
      </x:c>
      <x:c r="E167" s="26" t="str">
        <x:v>Global</x:v>
      </x:c>
      <x:c r="F167" s="28" t="n">
        <x:v>63.4</x:v>
      </x:c>
      <x:c r="G167" s="26" t="n">
        <x:v>2025</x:v>
      </x:c>
      <x:c r="H167" s="26" t="str">
        <x:v>Members</x:v>
      </x:c>
      <x:c r="I167" s="26" t="str">
        <x:v>Sep-2025</x:v>
      </x:c>
      <x:c r="J167" s="26" t="str">
        <x:v>Current (≤4 years)</x:v>
      </x:c>
      <x:c r="K167" s="26" t="str">
        <x:v>A</x:v>
      </x:c>
      <x:c r="L167" s="26" t="str">
        <x:v>Official company source</x:v>
      </x:c>
      <x:c r="M167" s="26" t="str">
        <x:v>BWH Hotels GB celebrates record-breaking year</x:v>
      </x:c>
      <x:c r="N167" s="26" t="str">
        <x:v>BWH Hotels GB celebrates record-breaking year</x:v>
      </x:c>
      <x:c r="O167" s="26" t="str">
        <x:v>https://www.joinbwhhotels.co.uk/bwh-blog/bwh-hotels-gb-celebrates-record-breaking-year-amid-industry-challenges/</x:v>
      </x:c>
      <x:c r="P167" s="26" t="str"/>
    </x:row>
    <x:row r="168">
      <x:c r="A168" t="n">
        <x:v>165</x:v>
      </x:c>
      <x:c r="B168" s="26" t="str">
        <x:v>Flying Blue</x:v>
      </x:c>
      <x:c r="C168" s="26" t="str">
        <x:v>Air France-KLM</x:v>
      </x:c>
      <x:c r="D168" s="26" t="str">
        <x:v>Airlines</x:v>
      </x:c>
      <x:c r="E168" s="26" t="str">
        <x:v>Global</x:v>
      </x:c>
      <x:c r="F168" s="28" t="n">
        <x:v>30</x:v>
      </x:c>
      <x:c r="G168" s="26" t="n">
        <x:v>2025</x:v>
      </x:c>
      <x:c r="H168" s="26" t="str">
        <x:v>Members (over)</x:v>
      </x:c>
      <x:c r="I168" s="26" t="str">
        <x:v>Jun-2025</x:v>
      </x:c>
      <x:c r="J168" s="26" t="str">
        <x:v>Current (≤4 years)</x:v>
      </x:c>
      <x:c r="K168" s="26" t="str">
        <x:v>A</x:v>
      </x:c>
      <x:c r="L168" s="26" t="str">
        <x:v>Official company source</x:v>
      </x:c>
      <x:c r="M168" s="26" t="str">
        <x:v>Flying Blue company profile</x:v>
      </x:c>
      <x:c r="N168" s="26" t="str">
        <x:v>Flying Blue company profile</x:v>
      </x:c>
      <x:c r="O168" s="26" t="str">
        <x:v>https://www.airfranceklm.com/en/our-strengths/flying-blue-0</x:v>
      </x:c>
      <x:c r="P168" s="26" t="str"/>
    </x:row>
    <x:row r="169">
      <x:c r="A169" t="n">
        <x:v>166</x:v>
      </x:c>
      <x:c r="B169" s="26" t="str">
        <x:v>Miles &amp; More</x:v>
      </x:c>
      <x:c r="C169" s="26" t="str">
        <x:v>Lufthansa Group</x:v>
      </x:c>
      <x:c r="D169" s="26" t="str">
        <x:v>Airlines</x:v>
      </x:c>
      <x:c r="E169" s="26" t="str">
        <x:v>Global</x:v>
      </x:c>
      <x:c r="F169" s="28" t="n">
        <x:v>39</x:v>
      </x:c>
      <x:c r="G169" s="26" t="n">
        <x:v>2026</x:v>
      </x:c>
      <x:c r="H169" s="26" t="str">
        <x:v>Members (over)</x:v>
      </x:c>
      <x:c r="I169" s="26" t="str">
        <x:v>Mar-2026</x:v>
      </x:c>
      <x:c r="J169" s="26" t="str">
        <x:v>Current (≤4 years)</x:v>
      </x:c>
      <x:c r="K169" s="26" t="str">
        <x:v>A</x:v>
      </x:c>
      <x:c r="L169" s="26" t="str">
        <x:v>Official company source</x:v>
      </x:c>
      <x:c r="M169" s="26" t="str">
        <x:v>Miles &amp; More and ITA Airways integration release</x:v>
      </x:c>
      <x:c r="N169" s="26" t="str">
        <x:v>Miles &amp; More and ITA Airways integration release</x:v>
      </x:c>
      <x:c r="O169" s="26" t="str">
        <x:v>https://www.miles-and-more.com/be/en/program/news/global_ita_award_flight_programme_press_2603.html</x:v>
      </x:c>
      <x:c r="P169" s="26" t="str"/>
    </x:row>
    <x:row r="170">
      <x:c r="A170" t="n">
        <x:v>167</x:v>
      </x:c>
      <x:c r="B170" s="26" t="str">
        <x:v>Emirates Skywards</x:v>
      </x:c>
      <x:c r="C170" s="26" t="str">
        <x:v>Emirates Group</x:v>
      </x:c>
      <x:c r="D170" s="26" t="str">
        <x:v>Airlines</x:v>
      </x:c>
      <x:c r="E170" s="26" t="str">
        <x:v>Global</x:v>
      </x:c>
      <x:c r="F170" s="28" t="n">
        <x:v>37</x:v>
      </x:c>
      <x:c r="G170" s="26" t="n">
        <x:v>2025</x:v>
      </x:c>
      <x:c r="H170" s="26" t="str">
        <x:v>Members (over)</x:v>
      </x:c>
      <x:c r="I170" s="26" t="str">
        <x:v>Sep-2025</x:v>
      </x:c>
      <x:c r="J170" s="26" t="str">
        <x:v>Current (≤4 years)</x:v>
      </x:c>
      <x:c r="K170" s="26" t="str">
        <x:v>A</x:v>
      </x:c>
      <x:c r="L170" s="26" t="str">
        <x:v>Official company source</x:v>
      </x:c>
      <x:c r="M170" s="26" t="str">
        <x:v>Skywards celebrates 25 years</x:v>
      </x:c>
      <x:c r="N170" s="26" t="str">
        <x:v>Skywards celebrates 25 years</x:v>
      </x:c>
      <x:c r="O170" s="26" t="str">
        <x:v>https://www.emirates.com/media-centre/soaring-into-a-silver-jubilee---emirates-skywards-turns-25/</x:v>
      </x:c>
      <x:c r="P170" s="26" t="str"/>
    </x:row>
    <x:row r="171">
      <x:c r="A171" t="n">
        <x:v>168</x:v>
      </x:c>
      <x:c r="B171" s="26" t="str">
        <x:v>Aeroplan</x:v>
      </x:c>
      <x:c r="C171" s="26" t="str">
        <x:v>Air Canada</x:v>
      </x:c>
      <x:c r="D171" s="26" t="str">
        <x:v>Airlines</x:v>
      </x:c>
      <x:c r="E171" s="26" t="str">
        <x:v>Canada / Global</x:v>
      </x:c>
      <x:c r="F171" s="28" t="n">
        <x:v>10</x:v>
      </x:c>
      <x:c r="G171" s="26" t="n">
        <x:v>2025</x:v>
      </x:c>
      <x:c r="H171" s="26" t="str">
        <x:v>Active and engaged members (over)</x:v>
      </x:c>
      <x:c r="I171" s="26" t="str">
        <x:v>Oct-2025</x:v>
      </x:c>
      <x:c r="J171" s="26" t="str">
        <x:v>Current (≤4 years)</x:v>
      </x:c>
      <x:c r="K171" s="26" t="str">
        <x:v>A</x:v>
      </x:c>
      <x:c r="L171" s="26" t="str">
        <x:v>Official company source</x:v>
      </x:c>
      <x:c r="M171" s="26" t="str">
        <x:v>Aeroplan and DINR partnership</x:v>
      </x:c>
      <x:c r="N171" s="26" t="str">
        <x:v>Aeroplan and DINR partnership</x:v>
      </x:c>
      <x:c r="O171" s="26" t="str">
        <x:v>https://www.aircanada.com/media/aeroplan-announces-strategic-partnership-with-dinr-connecting-canadian-travellers-with-canadas-best-restaurants/</x:v>
      </x:c>
      <x:c r="P171" s="26" t="str"/>
    </x:row>
    <x:row r="172">
      <x:c r="A172" t="n">
        <x:v>169</x:v>
      </x:c>
      <x:c r="B172" s="26" t="str">
        <x:v>PAYBACK Germany</x:v>
      </x:c>
      <x:c r="C172" s="26" t="str">
        <x:v>PAYBACK Group / American Express</x:v>
      </x:c>
      <x:c r="D172" s="26" t="str">
        <x:v>Coalition &amp; points</x:v>
      </x:c>
      <x:c r="E172" s="26" t="str">
        <x:v>Germany</x:v>
      </x:c>
      <x:c r="F172" s="28" t="n">
        <x:v>35</x:v>
      </x:c>
      <x:c r="G172" s="26" t="n">
        <x:v>2025</x:v>
      </x:c>
      <x:c r="H172" s="26" t="str">
        <x:v>Active users</x:v>
      </x:c>
      <x:c r="I172" s="26" t="str">
        <x:v>Sep-2025</x:v>
      </x:c>
      <x:c r="J172" s="26" t="str">
        <x:v>Current (≤4 years)</x:v>
      </x:c>
      <x:c r="K172" s="26" t="str">
        <x:v>A</x:v>
      </x:c>
      <x:c r="L172" s="26" t="str">
        <x:v>Official company source</x:v>
      </x:c>
      <x:c r="M172" s="26" t="str">
        <x:v>PAYBACK 2025 annual review</x:v>
      </x:c>
      <x:c r="N172" s="26" t="str">
        <x:v>PAYBACK 2025 annual review</x:v>
      </x:c>
      <x:c r="O172" s="26" t="str">
        <x:v>https://www.payback.group/en/press/press-releases/detail/balance-sheet-payback-achieves-new-user-and-collection-record</x:v>
      </x:c>
      <x:c r="P172" s="26" t="str"/>
    </x:row>
    <x:row r="173">
      <x:c r="A173" t="n">
        <x:v>170</x:v>
      </x:c>
      <x:c r="B173" s="26" t="str">
        <x:v>Tesco Clubcard</x:v>
      </x:c>
      <x:c r="C173" s="26" t="str">
        <x:v>Tesco</x:v>
      </x:c>
      <x:c r="D173" s="26" t="str">
        <x:v>Retail &amp; grocery</x:v>
      </x:c>
      <x:c r="E173" s="26" t="str">
        <x:v>United Kingdom</x:v>
      </x:c>
      <x:c r="F173" s="28" t="n">
        <x:v>24</x:v>
      </x:c>
      <x:c r="G173" s="26" t="n">
        <x:v>2025</x:v>
      </x:c>
      <x:c r="H173" s="26" t="str">
        <x:v>UK households with Clubcard</x:v>
      </x:c>
      <x:c r="I173" s="26" t="str">
        <x:v>Oct-2025</x:v>
      </x:c>
      <x:c r="J173" s="26" t="str">
        <x:v>Current (≤4 years)</x:v>
      </x:c>
      <x:c r="K173" s="26" t="str">
        <x:v>A</x:v>
      </x:c>
      <x:c r="L173" s="26" t="str">
        <x:v>Official company source</x:v>
      </x:c>
      <x:c r="M173" s="26" t="str">
        <x:v>Tesco Clubcard Unpacked 2025</x:v>
      </x:c>
      <x:c r="N173" s="26" t="str">
        <x:v>Tesco Clubcard Unpacked 2025</x:v>
      </x:c>
      <x:c r="O173" s="26" t="str">
        <x:v>https://www.tescoplc.com/tesco-s-clubcard-unpacked-2025-reveals-the-difference-between-london-and-the-rest-of-the-uk-and-it-s-bananas/</x:v>
      </x:c>
      <x:c r="P173" s="26" t="str"/>
    </x:row>
    <x:row r="174">
      <x:c r="A174" t="n">
        <x:v>171</x:v>
      </x:c>
      <x:c r="B174" s="26" t="str">
        <x:v>Starbucks Rewards</x:v>
      </x:c>
      <x:c r="C174" s="26" t="str">
        <x:v>Starbucks Corporation</x:v>
      </x:c>
      <x:c r="D174" s="26" t="str">
        <x:v>Restaurants &amp; QSR</x:v>
      </x:c>
      <x:c r="E174" s="26" t="str">
        <x:v>United States</x:v>
      </x:c>
      <x:c r="F174" s="28" t="n">
        <x:v>35.5</x:v>
      </x:c>
      <x:c r="G174" s="26" t="n">
        <x:v>2026</x:v>
      </x:c>
      <x:c r="H174" s="26" t="str">
        <x:v>90-day active members</x:v>
      </x:c>
      <x:c r="I174" s="26" t="str">
        <x:v>Jan-2026</x:v>
      </x:c>
      <x:c r="J174" s="26" t="str">
        <x:v>Current (≤4 years)</x:v>
      </x:c>
      <x:c r="K174" s="26" t="str">
        <x:v>A</x:v>
      </x:c>
      <x:c r="L174" s="26" t="str">
        <x:v>Official company source</x:v>
      </x:c>
      <x:c r="M174" s="26" t="str">
        <x:v>Starbucks reimagined loyalty program</x:v>
      </x:c>
      <x:c r="N174" s="26" t="str">
        <x:v>Starbucks reimagined loyalty program</x:v>
      </x:c>
      <x:c r="O174" s="26" t="str">
        <x:v>https://investor.starbucks.com/news/financial-releases/news-details/2026/Starbucks-Unveils-Reimagined-Loyalty-Program-to-Deliver-More-Meaningful-Value-Personalization-and-Engagement-for-Members/default.aspx</x:v>
      </x:c>
      <x:c r="P174" s="26" t="str">
        <x:v>US-only active-member figure; the global industry report estimates 55m across key markets.</x:v>
      </x:c>
    </x:row>
    <x:row r="175">
      <x:c r="A175" t="n">
        <x:v>172</x:v>
      </x:c>
      <x:c r="B175" s="26" t="str">
        <x:v>MyMcDonald's Rewards / McDonald's loyalty</x:v>
      </x:c>
      <x:c r="C175" s="26" t="str">
        <x:v>McDonald's Corporation</x:v>
      </x:c>
      <x:c r="D175" s="26" t="str">
        <x:v>Restaurants &amp; QSR</x:v>
      </x:c>
      <x:c r="E175" s="26" t="str">
        <x:v>Global</x:v>
      </x:c>
      <x:c r="F175" s="28" t="n">
        <x:v>210</x:v>
      </x:c>
      <x:c r="G175" s="26" t="n">
        <x:v>2025</x:v>
      </x:c>
      <x:c r="H175" s="26" t="str">
        <x:v>90-day active loyalty users (nearly)</x:v>
      </x:c>
      <x:c r="I175" s="26" t="str">
        <x:v>Dec-2025</x:v>
      </x:c>
      <x:c r="J175" s="26" t="str">
        <x:v>Current (≤4 years)</x:v>
      </x:c>
      <x:c r="K175" s="26" t="str">
        <x:v>A</x:v>
      </x:c>
      <x:c r="L175" s="26" t="str">
        <x:v>Official company source</x:v>
      </x:c>
      <x:c r="M175" s="26" t="str">
        <x:v>McDonald's FY2025 results</x:v>
      </x:c>
      <x:c r="N175" s="26" t="str">
        <x:v>McDonald's FY2025 results</x:v>
      </x:c>
      <x:c r="O175" s="26" t="str">
        <x:v>https://corporate.mcdonalds.com/content/mcdonalds/corpmcd/our-stories/article/Q4-full-year-2025-results.html</x:v>
      </x:c>
      <x:c r="P175" s="26" t="str"/>
    </x:row>
    <x:row r="176">
      <x:c r="A176" t="n">
        <x:v>173</x:v>
      </x:c>
      <x:c r="B176" s="26" t="str">
        <x:v>Marriott Bonvoy</x:v>
      </x:c>
      <x:c r="C176" s="26" t="str">
        <x:v>Marriott International</x:v>
      </x:c>
      <x:c r="D176" s="26" t="str">
        <x:v>Hotels</x:v>
      </x:c>
      <x:c r="E176" s="26" t="str">
        <x:v>Global</x:v>
      </x:c>
      <x:c r="F176" s="28" t="n">
        <x:v>271</x:v>
      </x:c>
      <x:c r="G176" s="26" t="n">
        <x:v>2025</x:v>
      </x:c>
      <x:c r="H176" s="26" t="str">
        <x:v>Registered members</x:v>
      </x:c>
      <x:c r="I176" s="26" t="str">
        <x:v>2026</x:v>
      </x:c>
      <x:c r="J176" s="26" t="str">
        <x:v>Current (≤4 years)</x:v>
      </x:c>
      <x:c r="K176" s="26" t="str">
        <x:v>A</x:v>
      </x:c>
      <x:c r="L176" s="26" t="str">
        <x:v>Annual report</x:v>
      </x:c>
      <x:c r="M176" s="26" t="str">
        <x:v>Marriott International 2025 Annual Report</x:v>
      </x:c>
      <x:c r="N176" s="26" t="str">
        <x:v>Marriott International 2025 Annual Report</x:v>
      </x:c>
      <x:c r="O176" s="26" t="str">
        <x:v>https://marriott.gcs-web.com/static-files/9cf0e9b0-bbfa-48a6-9e21-ffbdbc4b2d78</x:v>
      </x:c>
      <x:c r="P176" s="26" t="str"/>
    </x:row>
    <x:row r="177">
      <x:c r="A177" t="n">
        <x:v>174</x:v>
      </x:c>
      <x:c r="B177" s="26" t="str">
        <x:v>Hilton Honors</x:v>
      </x:c>
      <x:c r="C177" s="26" t="str">
        <x:v>Hilton Worldwide Holdings</x:v>
      </x:c>
      <x:c r="D177" s="26" t="str">
        <x:v>Hotels</x:v>
      </x:c>
      <x:c r="E177" s="26" t="str">
        <x:v>Global</x:v>
      </x:c>
      <x:c r="F177" s="28" t="n">
        <x:v>243</x:v>
      </x:c>
      <x:c r="G177" s="26" t="n">
        <x:v>2025</x:v>
      </x:c>
      <x:c r="H177" s="26" t="str">
        <x:v>Registered members</x:v>
      </x:c>
      <x:c r="I177" s="26" t="str">
        <x:v>2026</x:v>
      </x:c>
      <x:c r="J177" s="26" t="str">
        <x:v>Current (≤4 years)</x:v>
      </x:c>
      <x:c r="K177" s="26" t="str">
        <x:v>A</x:v>
      </x:c>
      <x:c r="L177" s="26" t="str">
        <x:v>Annual report</x:v>
      </x:c>
      <x:c r="M177" s="26" t="str">
        <x:v>Hilton 2025 Annual Report</x:v>
      </x:c>
      <x:c r="N177" s="26" t="str">
        <x:v>Hilton 2025 Annual Report</x:v>
      </x:c>
      <x:c r="O177" s="26" t="str">
        <x:v>https://stories-editor.hilton.com/wp-content/uploads/2026/03/Hilton-2025-Annual-Report-SEC-Form-10-K.pdf</x:v>
      </x:c>
      <x:c r="P177" s="26" t="str"/>
    </x:row>
    <x:row r="178">
      <x:c r="A178" t="n">
        <x:v>175</x:v>
      </x:c>
      <x:c r="B178" s="26" t="str">
        <x:v>IHG One Rewards</x:v>
      </x:c>
      <x:c r="C178" s="26" t="str">
        <x:v>InterContinental Hotels Group</x:v>
      </x:c>
      <x:c r="D178" s="26" t="str">
        <x:v>Hotels</x:v>
      </x:c>
      <x:c r="E178" s="26" t="str">
        <x:v>Global</x:v>
      </x:c>
      <x:c r="F178" s="28" t="n">
        <x:v>160</x:v>
      </x:c>
      <x:c r="G178" s="26" t="n">
        <x:v>2025</x:v>
      </x:c>
      <x:c r="H178" s="26" t="str">
        <x:v>Members (over)</x:v>
      </x:c>
      <x:c r="I178" s="26" t="str">
        <x:v>2026</x:v>
      </x:c>
      <x:c r="J178" s="26" t="str">
        <x:v>Current (≤4 years)</x:v>
      </x:c>
      <x:c r="K178" s="26" t="str">
        <x:v>A</x:v>
      </x:c>
      <x:c r="L178" s="26" t="str">
        <x:v>Annual report</x:v>
      </x:c>
      <x:c r="M178" s="26" t="str">
        <x:v>IHG Annual Report and Form 20-F 2025</x:v>
      </x:c>
      <x:c r="N178" s="26" t="str">
        <x:v>IHG Annual Report and Form 20-F 2025</x:v>
      </x:c>
      <x:c r="O178" s="26" t="str">
        <x:v>https://www.ihgplc.com/~/media/Files/I/Ihg-Plc/investors/annual-report/2025/ihg-ar25-interactive.pdf</x:v>
      </x:c>
      <x:c r="P178" s="26" t="str"/>
    </x:row>
    <x:row r="179">
      <x:c r="A179" t="n">
        <x:v>176</x:v>
      </x:c>
      <x:c r="B179" s="26" t="str">
        <x:v>World of Hyatt</x:v>
      </x:c>
      <x:c r="C179" s="26" t="str">
        <x:v>Hyatt Hotels Corporation</x:v>
      </x:c>
      <x:c r="D179" s="26" t="str">
        <x:v>Hotels</x:v>
      </x:c>
      <x:c r="E179" s="26" t="str">
        <x:v>Global</x:v>
      </x:c>
      <x:c r="F179" s="28" t="n">
        <x:v>63</x:v>
      </x:c>
      <x:c r="G179" s="26" t="n">
        <x:v>2025</x:v>
      </x:c>
      <x:c r="H179" s="26" t="str">
        <x:v>Registered members (approx.)</x:v>
      </x:c>
      <x:c r="I179" s="26" t="str">
        <x:v>2026</x:v>
      </x:c>
      <x:c r="J179" s="26" t="str">
        <x:v>Current (≤4 years)</x:v>
      </x:c>
      <x:c r="K179" s="26" t="str">
        <x:v>A</x:v>
      </x:c>
      <x:c r="L179" s="26" t="str">
        <x:v>Annual report / SEC filing</x:v>
      </x:c>
      <x:c r="M179" s="26" t="str">
        <x:v>Marriott Vacations 2025 Annual Report references World of Hyatt</x:v>
      </x:c>
      <x:c r="N179" s="26" t="str">
        <x:v>Marriott Vacations 2025 Annual Report references World of Hyatt</x:v>
      </x:c>
      <x:c r="O179" s="26" t="str">
        <x:v>https://www.sec.gov/Archives/edgar/data/1524358/000152435826000010/vac-20251231.htm</x:v>
      </x:c>
      <x:c r="P179" s="26" t="str">
        <x:v>Third-party SEC filing by Hyatt partner; official filing, not Hyatt's own report.</x:v>
      </x:c>
    </x:row>
    <x:row r="180">
      <x:c r="A180" t="n">
        <x:v>177</x:v>
      </x:c>
      <x:c r="B180" s="26" t="str">
        <x:v>Wyndham Rewards</x:v>
      </x:c>
      <x:c r="C180" s="26" t="str">
        <x:v>Wyndham Hotels &amp; Resorts</x:v>
      </x:c>
      <x:c r="D180" s="26" t="str">
        <x:v>Hotels</x:v>
      </x:c>
      <x:c r="E180" s="26" t="str">
        <x:v>Global</x:v>
      </x:c>
      <x:c r="F180" s="28" t="n">
        <x:v>122</x:v>
      </x:c>
      <x:c r="G180" s="26" t="n">
        <x:v>2025</x:v>
      </x:c>
      <x:c r="H180" s="26" t="str">
        <x:v>Enrolled members (over)</x:v>
      </x:c>
      <x:c r="I180" s="26" t="str">
        <x:v>2026</x:v>
      </x:c>
      <x:c r="J180" s="26" t="str">
        <x:v>Current (≤4 years)</x:v>
      </x:c>
      <x:c r="K180" s="26" t="str">
        <x:v>A</x:v>
      </x:c>
      <x:c r="L180" s="26" t="str">
        <x:v>Annual report</x:v>
      </x:c>
      <x:c r="M180" s="26" t="str">
        <x:v>Wyndham Hotels &amp; Resorts 2025 Annual Report</x:v>
      </x:c>
      <x:c r="N180" s="26" t="str">
        <x:v>Wyndham Hotels &amp; Resorts 2025 Annual Report</x:v>
      </x:c>
      <x:c r="O180" s="26" t="str">
        <x:v>https://investor.wyndhamhotels.com/financial-information/all-sec-filings/content/0001722684-26-000052/a2025annualreport.pdf</x:v>
      </x:c>
      <x:c r="P180" s="26" t="str"/>
    </x:row>
    <x:row r="181">
      <x:c r="A181" t="n">
        <x:v>178</x:v>
      </x:c>
      <x:c r="B181" s="26" t="str">
        <x:v>Choice Privileges</x:v>
      </x:c>
      <x:c r="C181" s="26" t="str">
        <x:v>Choice Hotels International</x:v>
      </x:c>
      <x:c r="D181" s="26" t="str">
        <x:v>Hotels</x:v>
      </x:c>
      <x:c r="E181" s="26" t="str">
        <x:v>Global</x:v>
      </x:c>
      <x:c r="F181" s="28" t="n">
        <x:v>74</x:v>
      </x:c>
      <x:c r="G181" s="26" t="n">
        <x:v>2025</x:v>
      </x:c>
      <x:c r="H181" s="26" t="str">
        <x:v>Members (over)</x:v>
      </x:c>
      <x:c r="I181" s="26" t="str">
        <x:v>2025</x:v>
      </x:c>
      <x:c r="J181" s="26" t="str">
        <x:v>Current (≤4 years)</x:v>
      </x:c>
      <x:c r="K181" s="26" t="str">
        <x:v>A</x:v>
      </x:c>
      <x:c r="L181" s="26" t="str">
        <x:v>Annual report / SEC filing</x:v>
      </x:c>
      <x:c r="M181" s="26" t="str">
        <x:v>Choice Hotels 2025 Form 10-K</x:v>
      </x:c>
      <x:c r="N181" s="26" t="str">
        <x:v>Choice Hotels 2025 Form 10-K</x:v>
      </x:c>
      <x:c r="O181" s="26" t="str">
        <x:v>https://www.sec.gov/Archives/edgar/data/1046311/000104631126000012/chh-20251231.htm</x:v>
      </x:c>
      <x:c r="P181" s="26" t="str">
        <x:v>Source URL may redirect; count surfaced in 2025 10-K search result.</x:v>
      </x:c>
    </x:row>
    <x:row r="182">
      <x:c r="A182" t="n">
        <x:v>179</x:v>
      </x:c>
      <x:c r="B182" s="26" t="str">
        <x:v>ALL - Accor Live Limitless</x:v>
      </x:c>
      <x:c r="C182" s="26" t="str">
        <x:v>Accor</x:v>
      </x:c>
      <x:c r="D182" s="26" t="str">
        <x:v>Hotels</x:v>
      </x:c>
      <x:c r="E182" s="26" t="str">
        <x:v>Global</x:v>
      </x:c>
      <x:c r="F182" s="28" t="n">
        <x:v>110</x:v>
      </x:c>
      <x:c r="G182" s="26" t="n">
        <x:v>2025</x:v>
      </x:c>
      <x:c r="H182" s="26" t="str">
        <x:v>Members (over)</x:v>
      </x:c>
      <x:c r="I182" s="26" t="str">
        <x:v>2025</x:v>
      </x:c>
      <x:c r="J182" s="26" t="str">
        <x:v>Current (≤4 years)</x:v>
      </x:c>
      <x:c r="K182" s="26" t="str">
        <x:v>A</x:v>
      </x:c>
      <x:c r="L182" s="26" t="str">
        <x:v>Annual report</x:v>
      </x:c>
      <x:c r="M182" s="26" t="str">
        <x:v>Accor Integrated Report 2025</x:v>
      </x:c>
      <x:c r="N182" s="26" t="str">
        <x:v>Accor Integrated Report 2025</x:v>
      </x:c>
      <x:c r="O182" s="26" t="str">
        <x:v>https://assets.group.accor.com/yrj0orc8tx24/yMg4ParJIzpy1DzMN0kOQ/90a1cf55393deb7ff5f70b8d44c8ecda/Accor_Integrated_Report_2025.pdf</x:v>
      </x:c>
      <x:c r="P182" s="26" t="str"/>
    </x:row>
    <x:row r="183">
      <x:c r="A183" t="n">
        <x:v>180</x:v>
      </x:c>
      <x:c r="B183" s="26" t="str">
        <x:v>Best Western Rewards</x:v>
      </x:c>
      <x:c r="C183" s="26" t="str">
        <x:v>BWH Hotels</x:v>
      </x:c>
      <x:c r="D183" s="26" t="str">
        <x:v>Hotels</x:v>
      </x:c>
      <x:c r="E183" s="26" t="str">
        <x:v>Global</x:v>
      </x:c>
      <x:c r="F183" s="28" t="n">
        <x:v>63.4</x:v>
      </x:c>
      <x:c r="G183" s="26" t="n">
        <x:v>2025</x:v>
      </x:c>
      <x:c r="H183" s="26" t="str">
        <x:v>Members</x:v>
      </x:c>
      <x:c r="I183" s="26" t="str">
        <x:v>2025</x:v>
      </x:c>
      <x:c r="J183" s="26" t="str">
        <x:v>Current (≤4 years)</x:v>
      </x:c>
      <x:c r="K183" s="26" t="str">
        <x:v>A</x:v>
      </x:c>
      <x:c r="L183" s="26" t="str">
        <x:v>Company news</x:v>
      </x:c>
      <x:c r="M183" s="26" t="str">
        <x:v>BWH Hotels GB Celebrates Record-Breaking Year</x:v>
      </x:c>
      <x:c r="N183" s="26" t="str">
        <x:v>BWH Hotels GB Celebrates Record-Breaking Year</x:v>
      </x:c>
      <x:c r="O183" s="26" t="str">
        <x:v>https://www.joinbwhhotels.co.uk/bwh-blog/bwh-hotels-gb-celebrates-record-breaking-year-amid-industry-challenges/</x:v>
      </x:c>
      <x:c r="P183" s="26" t="str"/>
    </x:row>
    <x:row r="184">
      <x:c r="A184" t="n">
        <x:v>181</x:v>
      </x:c>
      <x:c r="B184" s="26" t="str">
        <x:v>MileagePlus</x:v>
      </x:c>
      <x:c r="C184" s="26" t="str">
        <x:v>United Airlines</x:v>
      </x:c>
      <x:c r="D184" s="26" t="str">
        <x:v>Airlines</x:v>
      </x:c>
      <x:c r="E184" s="26" t="str">
        <x:v>Global</x:v>
      </x:c>
      <x:c r="F184" s="28" t="n">
        <x:v>130</x:v>
      </x:c>
      <x:c r="G184" s="26" t="n">
        <x:v>2026</x:v>
      </x:c>
      <x:c r="H184" s="26" t="str">
        <x:v>Members (over)</x:v>
      </x:c>
      <x:c r="I184" s="26" t="str">
        <x:v>2026</x:v>
      </x:c>
      <x:c r="J184" s="26" t="str">
        <x:v>Current (≤4 years)</x:v>
      </x:c>
      <x:c r="K184" s="26" t="str">
        <x:v>A</x:v>
      </x:c>
      <x:c r="L184" s="26" t="str">
        <x:v>Investor relations profile</x:v>
      </x:c>
      <x:c r="M184" s="26" t="str">
        <x:v>United Airlines Investor Relations</x:v>
      </x:c>
      <x:c r="N184" s="26" t="str">
        <x:v>United Airlines Investor Relations</x:v>
      </x:c>
      <x:c r="O184" s="26" t="str">
        <x:v>https://ir.united.com/</x:v>
      </x:c>
      <x:c r="P184" s="26" t="str"/>
    </x:row>
    <x:row r="185">
      <x:c r="A185" t="n">
        <x:v>182</x:v>
      </x:c>
      <x:c r="B185" s="26" t="str">
        <x:v>Rapid Rewards</x:v>
      </x:c>
      <x:c r="C185" s="26" t="str">
        <x:v>Southwest Airlines</x:v>
      </x:c>
      <x:c r="D185" s="26" t="str">
        <x:v>Airlines</x:v>
      </x:c>
      <x:c r="E185" s="26" t="str">
        <x:v>Global</x:v>
      </x:c>
      <x:c r="F185" s="28" t="n">
        <x:v>100</x:v>
      </x:c>
      <x:c r="G185" s="26" t="n">
        <x:v>2026</x:v>
      </x:c>
      <x:c r="H185" s="26" t="str">
        <x:v>Members (nearly)</x:v>
      </x:c>
      <x:c r="I185" s="26" t="str">
        <x:v>2026</x:v>
      </x:c>
      <x:c r="J185" s="26" t="str">
        <x:v>Current (≤4 years)</x:v>
      </x:c>
      <x:c r="K185" s="26" t="str">
        <x:v>C</x:v>
      </x:c>
      <x:c r="L185" s="26" t="str">
        <x:v>Earnings call / company disclosure</x:v>
      </x:c>
      <x:c r="M185" s="26" t="str">
        <x:v>Southwest Q2 2026 earnings disclosure</x:v>
      </x:c>
      <x:c r="N185" s="26" t="str">
        <x:v>Southwest Q2 2026 earnings disclosure</x:v>
      </x:c>
      <x:c r="O185" s="26" t="str">
        <x:v>https://www.southwestairlinesinvestorrelations.com/</x:v>
      </x:c>
      <x:c r="P185" s="26" t="str">
        <x:v>Count reported from Q2 2026 earnings call by trade media; source page is investor relations hub.</x:v>
      </x:c>
    </x:row>
    <x:row r="186">
      <x:c r="A186" t="n">
        <x:v>183</x:v>
      </x:c>
      <x:c r="B186" s="26" t="str">
        <x:v>Flying Blue</x:v>
      </x:c>
      <x:c r="C186" s="26" t="str">
        <x:v>Air France-KLM</x:v>
      </x:c>
      <x:c r="D186" s="26" t="str">
        <x:v>Airlines</x:v>
      </x:c>
      <x:c r="E186" s="26" t="str">
        <x:v>Global</x:v>
      </x:c>
      <x:c r="F186" s="28" t="n">
        <x:v>30</x:v>
      </x:c>
      <x:c r="G186" s="26" t="n">
        <x:v>2025</x:v>
      </x:c>
      <x:c r="H186" s="26" t="str">
        <x:v>Members (over)</x:v>
      </x:c>
      <x:c r="I186" s="26" t="str">
        <x:v>2025</x:v>
      </x:c>
      <x:c r="J186" s="26" t="str">
        <x:v>Current (≤4 years)</x:v>
      </x:c>
      <x:c r="K186" s="26" t="str">
        <x:v>A</x:v>
      </x:c>
      <x:c r="L186" s="26" t="str">
        <x:v>Company profile</x:v>
      </x:c>
      <x:c r="M186" s="26" t="str">
        <x:v>Flying Blue - Air France-KLM</x:v>
      </x:c>
      <x:c r="N186" s="26" t="str">
        <x:v>Flying Blue - Air France-KLM</x:v>
      </x:c>
      <x:c r="O186" s="26" t="str">
        <x:v>https://www.airfranceklm.com/en/our-strengths/flying-blue-0</x:v>
      </x:c>
      <x:c r="P186" s="26" t="str"/>
    </x:row>
    <x:row r="187">
      <x:c r="A187" t="n">
        <x:v>184</x:v>
      </x:c>
      <x:c r="B187" s="26" t="str">
        <x:v>Miles &amp; More</x:v>
      </x:c>
      <x:c r="C187" s="26" t="str">
        <x:v>Lufthansa Group</x:v>
      </x:c>
      <x:c r="D187" s="26" t="str">
        <x:v>Airlines</x:v>
      </x:c>
      <x:c r="E187" s="26" t="str">
        <x:v>Global</x:v>
      </x:c>
      <x:c r="F187" s="28" t="n">
        <x:v>39</x:v>
      </x:c>
      <x:c r="G187" s="26" t="n">
        <x:v>2026</x:v>
      </x:c>
      <x:c r="H187" s="26" t="str">
        <x:v>Members (over)</x:v>
      </x:c>
      <x:c r="I187" s="26" t="str">
        <x:v>2026</x:v>
      </x:c>
      <x:c r="J187" s="26" t="str">
        <x:v>Current (≤4 years)</x:v>
      </x:c>
      <x:c r="K187" s="26" t="str">
        <x:v>A</x:v>
      </x:c>
      <x:c r="L187" s="26" t="str">
        <x:v>Company profile</x:v>
      </x:c>
      <x:c r="M187" s="26" t="str">
        <x:v>Miles &amp; More company profile</x:v>
      </x:c>
      <x:c r="N187" s="26" t="str">
        <x:v>Miles &amp; More company profile</x:v>
      </x:c>
      <x:c r="O187" s="26" t="str">
        <x:v>https://www.miles-and-more.com/be/en/general-information/company-press/company.html</x:v>
      </x:c>
      <x:c r="P187" s="26" t="str"/>
    </x:row>
    <x:row r="188">
      <x:c r="A188" t="n">
        <x:v>185</x:v>
      </x:c>
      <x:c r="B188" s="26" t="str">
        <x:v>Emirates Skywards</x:v>
      </x:c>
      <x:c r="C188" s="26" t="str">
        <x:v>Emirates Group</x:v>
      </x:c>
      <x:c r="D188" s="26" t="str">
        <x:v>Airlines</x:v>
      </x:c>
      <x:c r="E188" s="26" t="str">
        <x:v>Global</x:v>
      </x:c>
      <x:c r="F188" s="28" t="n">
        <x:v>37</x:v>
      </x:c>
      <x:c r="G188" s="26" t="n">
        <x:v>2025</x:v>
      </x:c>
      <x:c r="H188" s="26" t="str">
        <x:v>Members</x:v>
      </x:c>
      <x:c r="I188" s="26" t="str">
        <x:v>2025</x:v>
      </x:c>
      <x:c r="J188" s="26" t="str">
        <x:v>Current (≤4 years)</x:v>
      </x:c>
      <x:c r="K188" s="26" t="str">
        <x:v>A</x:v>
      </x:c>
      <x:c r="L188" s="26" t="str">
        <x:v>Company year in review</x:v>
      </x:c>
      <x:c r="M188" s="26" t="str">
        <x:v>Emirates 2025 year in review</x:v>
      </x:c>
      <x:c r="N188" s="26" t="str">
        <x:v>Emirates 2025 year in review</x:v>
      </x:c>
      <x:c r="O188" s="26" t="str">
        <x:v>https://www.emirates.com/media-centre/icymi-emirates-2025-year-in-review-top-10-things-to-know/</x:v>
      </x:c>
      <x:c r="P188" s="26" t="str"/>
    </x:row>
    <x:row r="189">
      <x:c r="A189" t="n">
        <x:v>186</x:v>
      </x:c>
      <x:c r="B189" s="26" t="str">
        <x:v>Aeroplan</x:v>
      </x:c>
      <x:c r="C189" s="26" t="str">
        <x:v>Air Canada</x:v>
      </x:c>
      <x:c r="D189" s="26" t="str">
        <x:v>Airlines</x:v>
      </x:c>
      <x:c r="E189" s="26" t="str">
        <x:v>Global</x:v>
      </x:c>
      <x:c r="F189" s="28" t="n">
        <x:v>10</x:v>
      </x:c>
      <x:c r="G189" s="26" t="n">
        <x:v>2025</x:v>
      </x:c>
      <x:c r="H189" s="26" t="str">
        <x:v>Members (over)</x:v>
      </x:c>
      <x:c r="I189" s="26" t="str">
        <x:v>2025</x:v>
      </x:c>
      <x:c r="J189" s="26" t="str">
        <x:v>Current (≤4 years)</x:v>
      </x:c>
      <x:c r="K189" s="26" t="str">
        <x:v>A</x:v>
      </x:c>
      <x:c r="L189" s="26" t="str">
        <x:v>Company press release</x:v>
      </x:c>
      <x:c r="M189" s="26" t="str">
        <x:v>Air Canada 2025 results / company boilerplate</x:v>
      </x:c>
      <x:c r="N189" s="26" t="str">
        <x:v>Air Canada 2025 results / company boilerplate</x:v>
      </x:c>
      <x:c r="O189" s="26" t="str">
        <x:v>https://www.aircanada.com/media/air-canada-provides-third-quarter-2025-estimated-results-and-updated-full-year-2025-guidance/</x:v>
      </x:c>
      <x:c r="P189" s="26" t="str"/>
    </x:row>
    <x:row r="190">
      <x:c r="A190" t="n">
        <x:v>187</x:v>
      </x:c>
      <x:c r="B190" s="26" t="str">
        <x:v>Tesco Clubcard</x:v>
      </x:c>
      <x:c r="C190" s="26" t="str">
        <x:v>Tesco</x:v>
      </x:c>
      <x:c r="D190" s="26" t="str">
        <x:v>Retail &amp; grocery</x:v>
      </x:c>
      <x:c r="E190" s="26" t="str">
        <x:v>United Kingdom</x:v>
      </x:c>
      <x:c r="F190" s="28" t="n">
        <x:v>24</x:v>
      </x:c>
      <x:c r="G190" s="26" t="n">
        <x:v>2025</x:v>
      </x:c>
      <x:c r="H190" s="26" t="str">
        <x:v>Households with Clubcard</x:v>
      </x:c>
      <x:c r="I190" s="26" t="str">
        <x:v>2025</x:v>
      </x:c>
      <x:c r="J190" s="26" t="str">
        <x:v>Current (≤4 years)</x:v>
      </x:c>
      <x:c r="K190" s="26" t="str">
        <x:v>A</x:v>
      </x:c>
      <x:c r="L190" s="26" t="str">
        <x:v>Company press release</x:v>
      </x:c>
      <x:c r="M190" s="26" t="str">
        <x:v>Tesco Clubcard Unpacked 2025</x:v>
      </x:c>
      <x:c r="N190" s="26" t="str">
        <x:v>Tesco Clubcard Unpacked 2025</x:v>
      </x:c>
      <x:c r="O190" s="26" t="str">
        <x:v>https://www.tescoplc.com/tesco-s-clubcard-unpacked-2025-reveals-the-difference-between-london-and-the-rest-of-the-uk-and-it-s-bananas/</x:v>
      </x:c>
      <x:c r="P190" s="26" t="str"/>
    </x:row>
    <x:row r="191">
      <x:c r="A191" t="n">
        <x:v>188</x:v>
      </x:c>
      <x:c r="B191" s="26" t="str">
        <x:v>PAYBACK Germany</x:v>
      </x:c>
      <x:c r="C191" s="26" t="str">
        <x:v>PAYBACK Group / American Express</x:v>
      </x:c>
      <x:c r="D191" s="26" t="str">
        <x:v>Coalition</x:v>
      </x:c>
      <x:c r="E191" s="26" t="str">
        <x:v>Germany</x:v>
      </x:c>
      <x:c r="F191" s="28" t="n">
        <x:v>35</x:v>
      </x:c>
      <x:c r="G191" s="26" t="n">
        <x:v>2025</x:v>
      </x:c>
      <x:c r="H191" s="26" t="str">
        <x:v>Active users</x:v>
      </x:c>
      <x:c r="I191" s="26" t="str">
        <x:v>2025</x:v>
      </x:c>
      <x:c r="J191" s="26" t="str">
        <x:v>Current (≤4 years)</x:v>
      </x:c>
      <x:c r="K191" s="26" t="str">
        <x:v>A</x:v>
      </x:c>
      <x:c r="L191" s="26" t="str">
        <x:v>Company press release</x:v>
      </x:c>
      <x:c r="M191" s="26" t="str">
        <x:v>PAYBACK 2025 annual review</x:v>
      </x:c>
      <x:c r="N191" s="26" t="str">
        <x:v>PAYBACK 2025 annual review</x:v>
      </x:c>
      <x:c r="O191" s="26" t="str">
        <x:v>https://www.payback.group/en/press/press-releases/detail/balance-sheet-payback-achieves-new-user-and-collection-record</x:v>
      </x:c>
      <x:c r="P191" s="26" t="str"/>
    </x:row>
    <x:row r="192">
      <x:c r="A192" t="n">
        <x:v>189</x:v>
      </x:c>
      <x:c r="B192" s="26" t="str">
        <x:v>PAYBACK App Germany</x:v>
      </x:c>
      <x:c r="C192" s="26" t="str">
        <x:v>PAYBACK Group / American Express</x:v>
      </x:c>
      <x:c r="D192" s="26" t="str">
        <x:v>Coalition</x:v>
      </x:c>
      <x:c r="E192" s="26" t="str">
        <x:v>Germany</x:v>
      </x:c>
      <x:c r="F192" s="28" t="n">
        <x:v>18</x:v>
      </x:c>
      <x:c r="G192" s="26" t="n">
        <x:v>2025</x:v>
      </x:c>
      <x:c r="H192" s="26" t="str">
        <x:v>Active app users</x:v>
      </x:c>
      <x:c r="I192" s="26" t="str">
        <x:v>2025</x:v>
      </x:c>
      <x:c r="J192" s="26" t="str">
        <x:v>Current (≤4 years)</x:v>
      </x:c>
      <x:c r="K192" s="26" t="str">
        <x:v>A</x:v>
      </x:c>
      <x:c r="L192" s="26" t="str">
        <x:v>Company press release</x:v>
      </x:c>
      <x:c r="M192" s="26" t="str">
        <x:v>PAYBACK 2025 annual review</x:v>
      </x:c>
      <x:c r="N192" s="26" t="str">
        <x:v>PAYBACK 2025 annual review</x:v>
      </x:c>
      <x:c r="O192" s="26" t="str">
        <x:v>https://www.payback.group/en/press/press-releases/detail/balance-sheet-payback-achieves-new-user-and-collection-record</x:v>
      </x:c>
      <x:c r="P192" s="26" t="str">
        <x:v>App-user subset; kept as separate metric/program surface.</x:v>
      </x:c>
    </x:row>
    <x:row r="193">
      <x:c r="A193" t="n">
        <x:v>190</x:v>
      </x:c>
      <x:c r="B193" s="26" t="str">
        <x:v>Nectar App</x:v>
      </x:c>
      <x:c r="C193" s="26" t="str">
        <x:v>J Sainsbury plc</x:v>
      </x:c>
      <x:c r="D193" s="26" t="str">
        <x:v>Retail &amp; grocery</x:v>
      </x:c>
      <x:c r="E193" s="26" t="str">
        <x:v>United Kingdom</x:v>
      </x:c>
      <x:c r="F193" s="28" t="n">
        <x:v>10</x:v>
      </x:c>
      <x:c r="G193" s="26" t="n">
        <x:v>2022</x:v>
      </x:c>
      <x:c r="H193" s="26" t="str">
        <x:v>Registered app customers (over)</x:v>
      </x:c>
      <x:c r="I193" s="26" t="str">
        <x:v>2022</x:v>
      </x:c>
      <x:c r="J193" s="26" t="str">
        <x:v>Older than 4 years</x:v>
      </x:c>
      <x:c r="K193" s="26" t="str">
        <x:v>A</x:v>
      </x:c>
      <x:c r="L193" s="26" t="str">
        <x:v>Interim results</x:v>
      </x:c>
      <x:c r="M193" s="26" t="str">
        <x:v>J Sainsbury 2022/23 Interim Results</x:v>
      </x:c>
      <x:c r="N193" s="26" t="str">
        <x:v>J Sainsbury 2022/23 Interim Results</x:v>
      </x:c>
      <x:c r="O193" s="26" t="str">
        <x:v>https://www.about.sainsburys.co.uk/~/media/Files/S/Sainsburys/documents/reports-and-presentations/2022/Interims%202223/J%20Sainsbury%20plc%20Interim%20Results%202223_Statement.pdf</x:v>
      </x:c>
      <x:c r="P193" s="26" t="str"/>
    </x:row>
    <x:row r="194">
      <x:c r="A194" t="n">
        <x:v>191</x:v>
      </x:c>
      <x:c r="B194" s="26" t="str">
        <x:v>dm App / PAYBACK-linked benefits</x:v>
      </x:c>
      <x:c r="C194" s="26" t="str">
        <x:v>dm-drogerie markt</x:v>
      </x:c>
      <x:c r="D194" s="26" t="str">
        <x:v>Retail &amp; grocery</x:v>
      </x:c>
      <x:c r="E194" s="26" t="str">
        <x:v>Germany</x:v>
      </x:c>
      <x:c r="F194" s="28" t="n">
        <x:v>2</x:v>
      </x:c>
      <x:c r="G194" s="26" t="n">
        <x:v>2024</x:v>
      </x:c>
      <x:c r="H194" s="26" t="str">
        <x:v>Customers using app campaign (over)</x:v>
      </x:c>
      <x:c r="I194" s="26" t="str">
        <x:v>2024</x:v>
      </x:c>
      <x:c r="J194" s="26" t="str">
        <x:v>Current (≤4 years)</x:v>
      </x:c>
      <x:c r="K194" s="26" t="str">
        <x:v>A</x:v>
      </x:c>
      <x:c r="L194" s="26" t="str">
        <x:v>Company press release</x:v>
      </x:c>
      <x:c r="M194" s="26" t="str">
        <x:v>dm app campaign January 2024</x:v>
      </x:c>
      <x:c r="N194" s="26" t="str">
        <x:v>dm app campaign January 2024</x:v>
      </x:c>
      <x:c r="O194" s="26" t="str">
        <x:v>https://newsroom.dm.de/news/erfolgreiche-dm-online-kampagne-im-januar-mehr-als-2-millionen-kundinnen-und-kunden-nutzten-die-vorteile-der-dm-app-479070</x:v>
      </x:c>
      <x:c r="P194" s="26" t="str">
        <x:v>Not total active beauty membership; campaign users.</x:v>
      </x:c>
    </x:row>
    <x:row r="195">
      <x:c r="A195" t="n">
        <x:v>192</x:v>
      </x:c>
      <x:c r="B195" s="26" t="str">
        <x:v>Starbucks Rewards</x:v>
      </x:c>
      <x:c r="C195" s="26" t="str">
        <x:v>Starbucks Corporation</x:v>
      </x:c>
      <x:c r="D195" s="26" t="str">
        <x:v>Restaurants</x:v>
      </x:c>
      <x:c r="E195" s="26" t="str">
        <x:v>United States</x:v>
      </x:c>
      <x:c r="F195" s="28" t="n">
        <x:v>35.5</x:v>
      </x:c>
      <x:c r="G195" s="26" t="n">
        <x:v>2026</x:v>
      </x:c>
      <x:c r="H195" s="26" t="str">
        <x:v>90-day active members</x:v>
      </x:c>
      <x:c r="I195" s="26" t="str">
        <x:v>2026</x:v>
      </x:c>
      <x:c r="J195" s="26" t="str">
        <x:v>Current (≤4 years)</x:v>
      </x:c>
      <x:c r="K195" s="26" t="str">
        <x:v>A</x:v>
      </x:c>
      <x:c r="L195" s="26" t="str">
        <x:v>Investor relations press release</x:v>
      </x:c>
      <x:c r="M195" s="26" t="str">
        <x:v>Starbucks reimagined loyalty program</x:v>
      </x:c>
      <x:c r="N195" s="26" t="str">
        <x:v>Starbucks reimagined loyalty program</x:v>
      </x:c>
      <x:c r="O195" s="26" t="str">
        <x:v>https://investor.starbucks.com/news/financial-releases/news-details/2026/Starbucks-Unveils-Reimagined-Loyalty-Program-to-Deliver-More-Meaningful-Value-Personalization-and-Engagement-for-Members/default.aspx</x:v>
      </x:c>
      <x:c r="P195" s="26" t="str"/>
    </x:row>
    <x:row r="196">
      <x:c r="A196" t="n">
        <x:v>193</x:v>
      </x:c>
      <x:c r="B196" s="26" t="str">
        <x:v>MyMcDonald's Rewards / McDonald's loyalty</x:v>
      </x:c>
      <x:c r="C196" s="26" t="str">
        <x:v>McDonald's Corporation</x:v>
      </x:c>
      <x:c r="D196" s="26" t="str">
        <x:v>Restaurants</x:v>
      </x:c>
      <x:c r="E196" s="26" t="str">
        <x:v>Global</x:v>
      </x:c>
      <x:c r="F196" s="28" t="n">
        <x:v>210</x:v>
      </x:c>
      <x:c r="G196" s="26" t="n">
        <x:v>2025</x:v>
      </x:c>
      <x:c r="H196" s="26" t="str">
        <x:v>90-day active loyalty users (nearly)</x:v>
      </x:c>
      <x:c r="I196" s="26" t="str">
        <x:v>2025</x:v>
      </x:c>
      <x:c r="J196" s="26" t="str">
        <x:v>Current (≤4 years)</x:v>
      </x:c>
      <x:c r="K196" s="26" t="str">
        <x:v>A</x:v>
      </x:c>
      <x:c r="L196" s="26" t="str">
        <x:v>Full-year results</x:v>
      </x:c>
      <x:c r="M196" s="26" t="str">
        <x:v>McDonald's FY2025 results</x:v>
      </x:c>
      <x:c r="N196" s="26" t="str">
        <x:v>McDonald's FY2025 results</x:v>
      </x:c>
      <x:c r="O196" s="26" t="str">
        <x:v>https://corporate.mcdonalds.com/content/mcdonalds/corpmcd/our-stories/article/Q4-full-year-2025-results.html</x:v>
      </x:c>
      <x:c r="P196" s="26" t="str"/>
    </x:row>
  </x:sheetData>
  <x:mergeCells>
    <x:mergeCell ref="A1:P1"/>
  </x:mergeCells>
  <x:conditionalFormatting sqref="F4:F196">
    <x:cfRule type="dataBar" priority="1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{E361B6BC-ECFD-65ED-463D-D947BC53FFD7}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e54ca5f6fb8402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361B6BC-ECFD-65ED-463D-D947BC53FFD7}">
            <x14:dataBar gradient="1">
              <x14:cfvo type="min"/>
              <x14:cfvo type="max"/>
              <x14:fillColor rgb="FF1F4E78"/>
            </x14:dataBar>
          </x14:cfRule>
          <xm:sqref>F4:F196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1" hidden="0" customWidth="1"/>
    <x:col min="4" max="4" width="4" hidden="0" customWidth="1"/>
    <x:col min="5" max="5" width="32" hidden="0" customWidth="1"/>
    <x:col min="6" max="6" width="16" hidden="0" customWidth="1"/>
    <x:col min="7" max="7" width="4" hidden="0" customWidth="1"/>
    <x:col min="8" max="8" width="28" hidden="0" customWidth="1"/>
    <x:col min="9" max="9" width="14" hidden="0" customWidth="1"/>
    <x:col min="10" max="10" width="4" hidden="0" customWidth="1"/>
    <x:col min="11" max="11" width="14" hidden="0" customWidth="1"/>
    <x:col min="12" max="12" width="14" hidden="0" customWidth="1"/>
  </x:cols>
  <x:sheetData>
    <x:row r="1" ht="34" customHeight="1">
      <x:c r="A1" s="4" t="str">
        <x:v>Loyalty Program Scale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33" t="str">
        <x:v>Counts mix registered members, active members, paid memberships, households and app users. Use Metric definition before comparing programs.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4" ht="28" customHeight="1">
      <x:c r="A4" s="42" t="str">
        <x:v>Unique programs</x:v>
      </x:c>
      <x:c r="B4" s="42"/>
      <x:c r="C4" s="42" t="str">
        <x:v>Current-source programs</x:v>
      </x:c>
      <x:c r="D4" s="42"/>
      <x:c r="E4" s="42" t="str">
        <x:v>Direct official sources</x:v>
      </x:c>
      <x:c r="F4" s="42"/>
      <x:c r="G4" s="42" t="str">
        <x:v>Largest disclosed base</x:v>
      </x:c>
      <x:c r="H4" s="42"/>
      <x:c r="I4" s="42" t="str">
        <x:v>Median program size</x:v>
      </x:c>
      <x:c r="J4" s="42"/>
    </x:row>
    <x:row r="5" ht="34" customHeight="1">
      <x:c r="A5" s="51" t="n">
        <x:f>COUNTA('Program Master'!B4:B148)</x:f>
        <x:v>145</x:v>
      </x:c>
      <x:c r="C5" s="51" t="n">
        <x:f>COUNTIF('Program Master'!J4:J148,"Current (≤4 years)")</x:f>
        <x:v>131</x:v>
      </x:c>
      <x:c r="E5" s="51" t="n">
        <x:f>COUNTIF('Program Master'!K4:K148,"A")</x:f>
        <x:v>32</x:v>
      </x:c>
      <x:c r="G5" s="56" t="n">
        <x:f>MAX('Program Master'!F4:F148)</x:f>
        <x:v>550</x:v>
      </x:c>
      <x:c r="I5" s="56" t="n">
        <x:f>MEDIAN('Program Master'!F4:F148)</x:f>
        <x:v>36</x:v>
      </x:c>
    </x:row>
    <x:row r="8">
      <x:c r="A8" s="60" t="str">
        <x:v>Category</x:v>
      </x:c>
      <x:c r="B8" s="60" t="str">
        <x:v>Program count</x:v>
      </x:c>
      <x:c r="C8" s="60" t="str">
        <x:v>Total disclosed members (m)</x:v>
      </x:c>
      <x:c r="E8" s="60" t="str">
        <x:v>Top program</x:v>
      </x:c>
      <x:c r="F8" s="60" t="str">
        <x:v>Members (m)</x:v>
      </x:c>
      <x:c r="H8" s="60" t="str">
        <x:v>Source quality</x:v>
      </x:c>
      <x:c r="I8" s="60" t="str">
        <x:v>Programs</x:v>
      </x:c>
    </x:row>
    <x:row r="9">
      <x:c r="A9" t="str">
        <x:v>Airlines</x:v>
      </x:c>
      <x:c r="B9" t="n">
        <x:f>COUNTIF('Program Master'!$D$4:$D$148,A9)</x:f>
        <x:v>59</x:v>
      </x:c>
      <x:c r="C9" s="64" t="n">
        <x:f>SUMIF('Program Master'!$D$4:$D$148,A9,'Program Master'!$F$4:$F$148)</x:f>
        <x:v>1440.1603000000002</x:v>
      </x:c>
      <x:c r="E9" t="str">
        <x:f>'Program Master'!B4</x:f>
        <x:v>KFC Rewards / KFC loyalty ecosystem</x:v>
      </x:c>
      <x:c r="F9" s="64" t="n">
        <x:f>'Program Master'!F4</x:f>
        <x:v>550</x:v>
      </x:c>
      <x:c r="H9" t="str">
        <x:v>A — direct official</x:v>
      </x:c>
      <x:c r="I9" t="n">
        <x:f>COUNTIF('Program Master'!K4:K148,"A")</x:f>
        <x:v>32</x:v>
      </x:c>
    </x:row>
    <x:row r="10">
      <x:c r="A10" t="str">
        <x:v>Coalition &amp; fintech</x:v>
      </x:c>
      <x:c r="B10" t="n">
        <x:f>COUNTIF('Program Master'!$D$4:$D$148,A10)</x:f>
        <x:v>1</x:v>
      </x:c>
      <x:c r="C10" s="64" t="n">
        <x:f>SUMIF('Program Master'!$D$4:$D$148,A10,'Program Master'!$F$4:$F$148)</x:f>
        <x:v>40</x:v>
      </x:c>
      <x:c r="E10" t="str">
        <x:f>'Program Master'!B5</x:f>
        <x:v>adiClub</x:v>
      </x:c>
      <x:c r="F10" s="64" t="n">
        <x:f>'Program Master'!F5</x:f>
        <x:v>330</x:v>
      </x:c>
      <x:c r="H10" t="str">
        <x:v>B — report citing source</x:v>
      </x:c>
      <x:c r="I10" t="n">
        <x:f>COUNTIF('Program Master'!K4:K148,"B")</x:f>
        <x:v>74</x:v>
      </x:c>
    </x:row>
    <x:row r="11">
      <x:c r="A11" t="str">
        <x:v>Coalition &amp; points</x:v>
      </x:c>
      <x:c r="B11" t="n">
        <x:f>COUNTIF('Program Master'!$D$4:$D$148,A11)</x:f>
        <x:v>9</x:v>
      </x:c>
      <x:c r="C11" s="64" t="n">
        <x:f>SUMIF('Program Master'!$D$4:$D$148,A11,'Program Master'!$F$4:$F$148)</x:f>
        <x:v>619.9300000000001</x:v>
      </x:c>
      <x:c r="E11" t="str">
        <x:f>'Program Master'!B6</x:f>
        <x:v>Nike Membership</x:v>
      </x:c>
      <x:c r="F11" s="64" t="n">
        <x:f>'Program Master'!F6</x:f>
        <x:v>300</x:v>
      </x:c>
      <x:c r="H11" t="str">
        <x:v>C — secondary / estimate</x:v>
      </x:c>
      <x:c r="I11" t="n">
        <x:f>COUNTIF('Program Master'!K4:K148,"C")</x:f>
        <x:v>39</x:v>
      </x:c>
    </x:row>
    <x:row r="12">
      <x:c r="A12" t="str">
        <x:v>Coalition &amp; retail</x:v>
      </x:c>
      <x:c r="B12" t="n">
        <x:f>COUNTIF('Program Master'!$D$4:$D$148,A12)</x:f>
        <x:v>1</x:v>
      </x:c>
      <x:c r="C12" s="64" t="n">
        <x:f>SUMIF('Program Master'!$D$4:$D$148,A12,'Program Master'!$F$4:$F$148)</x:f>
        <x:v>12</x:v>
      </x:c>
      <x:c r="E12" t="str">
        <x:f>'Program Master'!B7</x:f>
        <x:v>Marriott Bonvoy</x:v>
      </x:c>
      <x:c r="F12" s="64" t="n">
        <x:f>'Program Master'!F7</x:f>
        <x:v>271</x:v>
      </x:c>
    </x:row>
    <x:row r="13">
      <x:c r="A13" t="str">
        <x:v>Coalition &amp; super-app</x:v>
      </x:c>
      <x:c r="B13" t="n">
        <x:f>COUNTIF('Program Master'!$D$4:$D$148,A13)</x:f>
        <x:v>1</x:v>
      </x:c>
      <x:c r="C13" s="64" t="n">
        <x:f>SUMIF('Program Master'!$D$4:$D$148,A13,'Program Master'!$F$4:$F$148)</x:f>
        <x:v>140</x:v>
      </x:c>
      <x:c r="E13" t="str">
        <x:f>'Program Master'!B8</x:f>
        <x:v>H Rewards</x:v>
      </x:c>
      <x:c r="F13" s="64" t="n">
        <x:f>'Program Master'!F8</x:f>
        <x:v>266</x:v>
      </x:c>
    </x:row>
    <x:row r="14">
      <x:c r="A14" t="str">
        <x:v>Fuel &amp; convenience</x:v>
      </x:c>
      <x:c r="B14" t="n">
        <x:f>COUNTIF('Program Master'!$D$4:$D$148,A14)</x:f>
        <x:v>2</x:v>
      </x:c>
      <x:c r="C14" s="64" t="n">
        <x:f>SUMIF('Program Master'!$D$4:$D$148,A14,'Program Master'!$F$4:$F$148)</x:f>
        <x:v>139</x:v>
      </x:c>
      <x:c r="E14" t="str">
        <x:f>'Program Master'!B9</x:f>
        <x:v>Hilton Honors</x:v>
      </x:c>
      <x:c r="F14" s="64" t="n">
        <x:f>'Program Master'!F9</x:f>
        <x:v>243</x:v>
      </x:c>
    </x:row>
    <x:row r="15">
      <x:c r="A15" t="str">
        <x:v>Hotels</x:v>
      </x:c>
      <x:c r="B15" t="n">
        <x:f>COUNTIF('Program Master'!$D$4:$D$148,A15)</x:f>
        <x:v>15</x:v>
      </x:c>
      <x:c r="C15" s="64" t="n">
        <x:f>SUMIF('Program Master'!$D$4:$D$148,A15,'Program Master'!$F$4:$F$148)</x:f>
        <x:v>1743.4</x:v>
      </x:c>
      <x:c r="E15" t="str">
        <x:f>'Program Master'!B10</x:f>
        <x:v>MyMcDonald's Rewards / McDonald's loyalty</x:v>
      </x:c>
      <x:c r="F15" s="64" t="n">
        <x:f>'Program Master'!F10</x:f>
        <x:v>210</x:v>
      </x:c>
    </x:row>
    <x:row r="16">
      <x:c r="A16" t="str">
        <x:v>Membership &amp; services</x:v>
      </x:c>
      <x:c r="B16" t="n">
        <x:f>COUNTIF('Program Master'!$D$4:$D$148,A16)</x:f>
        <x:v>3</x:v>
      </x:c>
      <x:c r="C16" s="64" t="n">
        <x:f>SUMIF('Program Master'!$D$4:$D$148,A16,'Program Master'!$F$4:$F$148)</x:f>
        <x:v>122</x:v>
      </x:c>
      <x:c r="E16" t="str">
        <x:f>'Program Master'!B11</x:f>
        <x:v>Pizza Hut China loyalty</x:v>
      </x:c>
      <x:c r="F16" s="64" t="n">
        <x:f>'Program Master'!F11</x:f>
        <x:v>210</x:v>
      </x:c>
    </x:row>
    <x:row r="17">
      <x:c r="A17" t="str">
        <x:v>Online travel</x:v>
      </x:c>
      <x:c r="B17" t="n">
        <x:f>COUNTIF('Program Master'!$D$4:$D$148,A17)</x:f>
        <x:v>2</x:v>
      </x:c>
      <x:c r="C17" s="64" t="n">
        <x:f>SUMIF('Program Master'!$D$4:$D$148,A17,'Program Master'!$F$4:$F$148)</x:f>
        <x:v>340</x:v>
      </x:c>
      <x:c r="E17" t="str">
        <x:f>'Program Master'!B12</x:f>
        <x:v>Amazon Prime</x:v>
      </x:c>
      <x:c r="F17" s="64" t="n">
        <x:f>'Program Master'!F12</x:f>
        <x:v>200</x:v>
      </x:c>
    </x:row>
    <x:row r="18">
      <x:c r="A18" t="str">
        <x:v>Paid membership &amp; e-commerce</x:v>
      </x:c>
      <x:c r="B18" t="n">
        <x:f>COUNTIF('Program Master'!$D$4:$D$148,A18)</x:f>
        <x:v>6</x:v>
      </x:c>
      <x:c r="C18" s="64" t="n">
        <x:f>SUMIF('Program Master'!$D$4:$D$148,A18,'Program Master'!$F$4:$F$148)</x:f>
        <x:v>496</x:v>
      </x:c>
      <x:c r="E18" t="str">
        <x:f>'Program Master'!B13</x:f>
        <x:v>H&amp;M Membership</x:v>
      </x:c>
      <x:c r="F18" s="64" t="n">
        <x:f>'Program Master'!F13</x:f>
        <x:v>200</x:v>
      </x:c>
    </x:row>
    <x:row r="19">
      <x:c r="A19" t="str">
        <x:v>Restaurants &amp; QSR</x:v>
      </x:c>
      <x:c r="B19" t="n">
        <x:f>COUNTIF('Program Master'!$D$4:$D$148,A19)</x:f>
        <x:v>13</x:v>
      </x:c>
      <x:c r="C19" s="64" t="n">
        <x:f>SUMIF('Program Master'!$D$4:$D$148,A19,'Program Master'!$F$4:$F$148)</x:f>
        <x:v>1324</x:v>
      </x:c>
      <x:c r="E19" t="str">
        <x:f>'Program Master'!B14</x:f>
        <x:v>IKEA Family</x:v>
      </x:c>
      <x:c r="F19" s="64" t="n">
        <x:f>'Program Master'!F14</x:f>
        <x:v>180</x:v>
      </x:c>
    </x:row>
    <x:row r="20">
      <x:c r="A20" t="str">
        <x:v>Retail &amp; beauty</x:v>
      </x:c>
      <x:c r="B20" t="n">
        <x:f>COUNTIF('Program Master'!$D$4:$D$148,A20)</x:f>
        <x:v>4</x:v>
      </x:c>
      <x:c r="C20" s="64" t="n">
        <x:f>SUMIF('Program Master'!$D$4:$D$148,A20,'Program Master'!$F$4:$F$148)</x:f>
        <x:v>123.9</x:v>
      </x:c>
      <x:c r="E20" t="str">
        <x:f>'Program Master'!B15</x:f>
        <x:v>Booking.com Genius</x:v>
      </x:c>
      <x:c r="F20" s="64" t="n">
        <x:f>'Program Master'!F15</x:f>
        <x:v>170</x:v>
      </x:c>
    </x:row>
    <x:row r="21">
      <x:c r="A21" t="str">
        <x:v>Retail &amp; consumer brands</x:v>
      </x:c>
      <x:c r="B21" t="n">
        <x:f>COUNTIF('Program Master'!$D$4:$D$148,A21)</x:f>
        <x:v>10</x:v>
      </x:c>
      <x:c r="C21" s="64" t="n">
        <x:f>SUMIF('Program Master'!$D$4:$D$148,A21,'Program Master'!$F$4:$F$148)</x:f>
        <x:v>1277</x:v>
      </x:c>
      <x:c r="E21" t="str">
        <x:f>'Program Master'!B16</x:f>
        <x:v>Expedia One Key</x:v>
      </x:c>
      <x:c r="F21" s="64" t="n">
        <x:f>'Program Master'!F16</x:f>
        <x:v>170</x:v>
      </x:c>
    </x:row>
    <x:row r="22">
      <x:c r="A22" t="str">
        <x:v>Retail &amp; grocery</x:v>
      </x:c>
      <x:c r="B22" t="n">
        <x:f>COUNTIF('Program Master'!$D$4:$D$148,A22)</x:f>
        <x:v>11</x:v>
      </x:c>
      <x:c r="C22" s="64" t="n">
        <x:f>SUMIF('Program Master'!$D$4:$D$148,A22,'Program Master'!$F$4:$F$148)</x:f>
        <x:v>583.5</x:v>
      </x:c>
      <x:c r="E22" t="str">
        <x:f>'Program Master'!B17</x:f>
        <x:v>IHG One Rewards</x:v>
      </x:c>
      <x:c r="F22" s="64" t="n">
        <x:f>'Program Master'!F17</x:f>
        <x:v>160</x:v>
      </x:c>
    </x:row>
    <x:row r="23">
      <x:c r="A23" t="str">
        <x:v>Retail &amp; home improvement</x:v>
      </x:c>
      <x:c r="B23" t="n">
        <x:f>COUNTIF('Program Master'!$D$4:$D$148,A23)</x:f>
        <x:v>1</x:v>
      </x:c>
      <x:c r="C23" s="64" t="n">
        <x:f>SUMIF('Program Master'!$D$4:$D$148,A23,'Program Master'!$F$4:$F$148)</x:f>
        <x:v>30</x:v>
      </x:c>
      <x:c r="E23" t="str">
        <x:f>'Program Master'!B18</x:f>
        <x:v>NeuPass</x:v>
      </x:c>
      <x:c r="F23" s="64" t="n">
        <x:f>'Program Master'!F18</x:f>
        <x:v>140</x:v>
      </x:c>
    </x:row>
    <x:row r="24">
      <x:c r="A24" t="str">
        <x:v>Retail &amp; pet care</x:v>
      </x:c>
      <x:c r="B24" t="n">
        <x:f>COUNTIF('Program Master'!$D$4:$D$148,A24)</x:f>
        <x:v>1</x:v>
      </x:c>
      <x:c r="C24" s="64" t="n">
        <x:f>SUMIF('Program Master'!$D$4:$D$148,A24,'Program Master'!$F$4:$F$148)</x:f>
        <x:v>70</x:v>
      </x:c>
    </x:row>
    <x:row r="25">
      <x:c r="A25" t="str">
        <x:v>Retail &amp; pharmacy</x:v>
      </x:c>
      <x:c r="B25" t="n">
        <x:f>COUNTIF('Program Master'!$D$4:$D$148,A25)</x:f>
        <x:v>3</x:v>
      </x:c>
      <x:c r="C25" s="64" t="n">
        <x:f>SUMIF('Program Master'!$D$4:$D$148,A25,'Program Master'!$F$4:$F$148)</x:f>
        <x:v>201</x:v>
      </x:c>
    </x:row>
    <x:row r="26">
      <x:c r="A26" t="str">
        <x:v>Retail &amp; technology</x:v>
      </x:c>
      <x:c r="B26" t="n">
        <x:f>COUNTIF('Program Master'!$D$4:$D$148,A26)</x:f>
        <x:v>1</x:v>
      </x:c>
      <x:c r="C26" s="64" t="n">
        <x:f>SUMIF('Program Master'!$D$4:$D$148,A26,'Program Master'!$F$4:$F$148)</x:f>
        <x:v>60</x:v>
      </x:c>
    </x:row>
    <x:row r="27">
      <x:c r="A27" t="str">
        <x:v>Telecom</x:v>
      </x:c>
      <x:c r="B27" t="n">
        <x:f>COUNTIF('Program Master'!$D$4:$D$148,A27)</x:f>
        <x:v>2</x:v>
      </x:c>
      <x:c r="C27" s="64" t="n">
        <x:f>SUMIF('Program Master'!$D$4:$D$148,A27,'Program Master'!$F$4:$F$148)</x:f>
        <x:v>117</x:v>
      </x:c>
    </x:row>
  </x:sheetData>
  <x:mergeCells>
    <x:mergeCell ref="A1:L1"/>
    <x:mergeCell ref="A2:L2"/>
    <x:mergeCell ref="A4:B4"/>
    <x:mergeCell ref="C4:D4"/>
    <x:mergeCell ref="E4:F4"/>
    <x:mergeCell ref="G4:H4"/>
    <x:mergeCell ref="I4:J4"/>
    <x:mergeCell ref="A5:B5"/>
    <x:mergeCell ref="C5:D5"/>
    <x:mergeCell ref="E5:F5"/>
    <x:mergeCell ref="G5:H5"/>
    <x:mergeCell ref="I5:J5"/>
  </x:mergeCells>
  <x:conditionalFormatting sqref="B9:B27">
    <x:cfRule type="dataBar" priority="1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b3e34589310488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1F4E78"/>
            </x14:dataBar>
          </x14:cfRule>
          <xm:sqref>B9:B27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8" hidden="0" customWidth="1"/>
    <x:col min="3" max="3" width="24" hidden="0" customWidth="1"/>
    <x:col min="4" max="4" width="18" hidden="0" customWidth="1"/>
    <x:col min="5" max="5" width="68" hidden="0" customWidth="1"/>
  </x:cols>
  <x:sheetData>
    <x:row r="1">
      <x:c r="A1" s="4" t="str">
        <x:v>Important programs without a clean current public member count</x:v>
      </x:c>
      <x:c r="B1" s="4"/>
      <x:c r="C1" s="4"/>
      <x:c r="D1" s="4"/>
      <x:c r="E1" s="4"/>
    </x:row>
    <x:row r="3">
      <x:c r="A3" s="11" t="str">
        <x:v>Program</x:v>
      </x:c>
      <x:c r="B3" s="11" t="str">
        <x:v>Parent company</x:v>
      </x:c>
      <x:c r="C3" s="11" t="str">
        <x:v>Category</x:v>
      </x:c>
      <x:c r="D3" s="11" t="str">
        <x:v>Region</x:v>
      </x:c>
      <x:c r="E3" s="11" t="str">
        <x:v>Why it is not in the ranked master / action needed</x:v>
      </x:c>
    </x:row>
    <x:row r="4">
      <x:c r="A4" s="26" t="str">
        <x:v>American Express Membership Rewards</x:v>
      </x:c>
      <x:c r="B4" s="26" t="str">
        <x:v>American Express</x:v>
      </x:c>
      <x:c r="C4" s="26" t="str">
        <x:v>Cards &amp; bank rewards</x:v>
      </x:c>
      <x:c r="D4" s="26" t="str">
        <x:v>Global</x:v>
      </x:c>
      <x:c r="E4" s="26" t="str">
        <x:v>No recent public global membership count found; American Express reports cards-in-force, not necessarily Membership Rewards members.</x:v>
      </x:c>
    </x:row>
    <x:row r="5">
      <x:c r="A5" s="26" t="str">
        <x:v>Chase Ultimate Rewards</x:v>
      </x:c>
      <x:c r="B5" s="26" t="str">
        <x:v>JPMorgan Chase</x:v>
      </x:c>
      <x:c r="C5" s="26" t="str">
        <x:v>Cards &amp; bank rewards</x:v>
      </x:c>
      <x:c r="D5" s="26" t="str">
        <x:v>United States</x:v>
      </x:c>
      <x:c r="E5" s="26" t="str">
        <x:v>No public member count located in current official disclosures.</x:v>
      </x:c>
    </x:row>
    <x:row r="6">
      <x:c r="A6" s="26" t="str">
        <x:v>Citi ThankYou Rewards</x:v>
      </x:c>
      <x:c r="B6" s="26" t="str">
        <x:v>Citigroup</x:v>
      </x:c>
      <x:c r="C6" s="26" t="str">
        <x:v>Cards &amp; bank rewards</x:v>
      </x:c>
      <x:c r="D6" s="26" t="str">
        <x:v>Global / United States</x:v>
      </x:c>
      <x:c r="E6" s="26" t="str">
        <x:v>No public member count located in current official disclosures.</x:v>
      </x:c>
    </x:row>
    <x:row r="7">
      <x:c r="A7" s="26" t="str">
        <x:v>Capital One Miles / Rewards</x:v>
      </x:c>
      <x:c r="B7" s="26" t="str">
        <x:v>Capital One Financial</x:v>
      </x:c>
      <x:c r="C7" s="26" t="str">
        <x:v>Cards &amp; bank rewards</x:v>
      </x:c>
      <x:c r="D7" s="26" t="str">
        <x:v>United States</x:v>
      </x:c>
      <x:c r="E7" s="26" t="str">
        <x:v>No public member count located in current official disclosures.</x:v>
      </x:c>
    </x:row>
    <x:row r="8">
      <x:c r="A8" s="26" t="str">
        <x:v>Bilt Rewards</x:v>
      </x:c>
      <x:c r="B8" s="26" t="str">
        <x:v>Bilt Technologies</x:v>
      </x:c>
      <x:c r="C8" s="26" t="str">
        <x:v>Coalition &amp; fintech</x:v>
      </x:c>
      <x:c r="D8" s="26" t="str">
        <x:v>United States</x:v>
      </x:c>
      <x:c r="E8" s="26" t="str">
        <x:v>Company reports transaction/payment scale more often than a stable total member count.</x:v>
      </x:c>
    </x:row>
    <x:row r="9">
      <x:c r="A9" s="26" t="str">
        <x:v>Qatar Airways Privilege Club</x:v>
      </x:c>
      <x:c r="B9" s="26" t="str">
        <x:v>Qatar Airways Group</x:v>
      </x:c>
      <x:c r="C9" s="26" t="str">
        <x:v>Airlines</x:v>
      </x:c>
      <x:c r="D9" s="26" t="str">
        <x:v>Global</x:v>
      </x:c>
      <x:c r="E9" s="26" t="str">
        <x:v>Included indirectly in IAG Loyalty portfolio; current standalone member count not found.</x:v>
      </x:c>
    </x:row>
    <x:row r="10">
      <x:c r="A10" s="26" t="str">
        <x:v>British Airways Club</x:v>
      </x:c>
      <x:c r="B10" s="26" t="str">
        <x:v>British Airways / IAG</x:v>
      </x:c>
      <x:c r="C10" s="26" t="str">
        <x:v>Airlines</x:v>
      </x:c>
      <x:c r="D10" s="26" t="str">
        <x:v>Global</x:v>
      </x:c>
      <x:c r="E10" s="26" t="str">
        <x:v>Included indirectly in IAG Loyalty portfolio; current standalone member count not found.</x:v>
      </x:c>
    </x:row>
    <x:row r="11">
      <x:c r="A11" s="26" t="str">
        <x:v>Iberia Club</x:v>
      </x:c>
      <x:c r="B11" s="26" t="str">
        <x:v>Iberia / IAG</x:v>
      </x:c>
      <x:c r="C11" s="26" t="str">
        <x:v>Airlines</x:v>
      </x:c>
      <x:c r="D11" s="26" t="str">
        <x:v>Global</x:v>
      </x:c>
      <x:c r="E11" s="26" t="str">
        <x:v>Included indirectly in IAG Loyalty portfolio; current standalone member count not found.</x:v>
      </x:c>
    </x:row>
    <x:row r="12">
      <x:c r="A12" s="26" t="str">
        <x:v>Vueling Club</x:v>
      </x:c>
      <x:c r="B12" s="26" t="str">
        <x:v>Vueling / IAG</x:v>
      </x:c>
      <x:c r="C12" s="26" t="str">
        <x:v>Airlines</x:v>
      </x:c>
      <x:c r="D12" s="26" t="str">
        <x:v>Europe</x:v>
      </x:c>
      <x:c r="E12" s="26" t="str">
        <x:v>Included indirectly in IAG Loyalty portfolio; current standalone member count not found.</x:v>
      </x:c>
    </x:row>
    <x:row r="13">
      <x:c r="A13" s="26" t="str">
        <x:v>WestJet Rewards</x:v>
      </x:c>
      <x:c r="B13" s="26" t="str">
        <x:v>WestJet Group</x:v>
      </x:c>
      <x:c r="C13" s="26" t="str">
        <x:v>Airlines</x:v>
      </x:c>
      <x:c r="D13" s="26" t="str">
        <x:v>Canada</x:v>
      </x:c>
      <x:c r="E13" s="26" t="str">
        <x:v>Recent official member total not located; partnerships mention members without a number.</x:v>
      </x:c>
    </x:row>
    <x:row r="14">
      <x:c r="A14" s="26" t="str">
        <x:v>AIR MILES Canada</x:v>
      </x:c>
      <x:c r="B14" s="26" t="str">
        <x:v>BMO</x:v>
      </x:c>
      <x:c r="C14" s="26" t="str">
        <x:v>Coalition &amp; points</x:v>
      </x:c>
      <x:c r="D14" s="26" t="str">
        <x:v>Canada</x:v>
      </x:c>
      <x:c r="E14" s="26" t="str">
        <x:v>Recent official member/collector count not located in a current primary source.</x:v>
      </x:c>
    </x:row>
    <x:row r="15">
      <x:c r="A15" s="26" t="str">
        <x:v>More Rewards</x:v>
      </x:c>
      <x:c r="B15" s="26" t="str">
        <x:v>Pattison Food Group</x:v>
      </x:c>
      <x:c r="C15" s="26" t="str">
        <x:v>Retail &amp; grocery</x:v>
      </x:c>
      <x:c r="D15" s="26" t="str">
        <x:v>Canada</x:v>
      </x:c>
      <x:c r="E15" s="26" t="str">
        <x:v>No current official public member count located.</x:v>
      </x:c>
    </x:row>
    <x:row r="16">
      <x:c r="A16" s="26" t="str">
        <x:v>Amazon Prime</x:v>
      </x:c>
      <x:c r="B16" s="26" t="str">
        <x:v>Amazon.com, Inc.</x:v>
      </x:c>
      <x:c r="C16" s="26" t="str">
        <x:v>Paid membership &amp; e-commerce</x:v>
      </x:c>
      <x:c r="D16" s="26" t="str">
        <x:v>Global</x:v>
      </x:c>
      <x:c r="E16" s="26" t="str">
        <x:v>Latest widely cited official global member disclosure is from 2021; included in master but flagged as stale.</x:v>
      </x:c>
    </x:row>
    <x:row r="17">
      <x:c r="A17" s="26" t="str">
        <x:v>Nike Membership</x:v>
      </x:c>
      <x:c r="B17" s="26" t="str">
        <x:v>NIKE, Inc.</x:v>
      </x:c>
      <x:c r="C17" s="26" t="str">
        <x:v>Retail &amp; consumer brands</x:v>
      </x:c>
      <x:c r="D17" s="26" t="str">
        <x:v>Global</x:v>
      </x:c>
      <x:c r="E17" s="26" t="str">
        <x:v>Latest available count in the source base is from 2021; included in master but flagged as stale.</x:v>
      </x:c>
    </x:row>
    <x:row r="18">
      <x:c r="A18" s="26" t="str">
        <x:v>AAdvantage</x:v>
      </x:c>
      <x:c r="B18" s="26" t="str">
        <x:v>American Airlines Group</x:v>
      </x:c>
      <x:c r="C18" s="26" t="str">
        <x:v>Airlines</x:v>
      </x:c>
      <x:c r="D18" s="26" t="str">
        <x:v>Global</x:v>
      </x:c>
      <x:c r="E18" s="26" t="str">
        <x:v>Latest count located relies on older disclosure/estimate; included in master but flagged as stale.</x:v>
      </x:c>
    </x:row>
    <x:row r="19">
      <x:c r="A19" s="26" t="str">
        <x:v>Royal Perks</x:v>
      </x:c>
      <x:c r="B19" s="26" t="str">
        <x:v>Burger King / Restaurant Brands International</x:v>
      </x:c>
      <x:c r="C19" s="26" t="str">
        <x:v>Restaurants &amp; QSR</x:v>
      </x:c>
      <x:c r="D19" s="26" t="str">
        <x:v>United States</x:v>
      </x:c>
      <x:c r="E19" s="26" t="str">
        <x:v>Program is widely used, but no official total membership count located.</x:v>
      </x:c>
    </x:row>
    <x:row r="20">
      <x:c r="A20" s="26" t="str">
        <x:v>Popeyes Rewards</x:v>
      </x:c>
      <x:c r="B20" s="26" t="str">
        <x:v>Restaurant Brands International</x:v>
      </x:c>
      <x:c r="C20" s="26" t="str">
        <x:v>Restaurants &amp; QSR</x:v>
      </x:c>
      <x:c r="D20" s="26" t="str">
        <x:v>United States</x:v>
      </x:c>
      <x:c r="E20" s="26" t="str">
        <x:v>No current official total membership count located.</x:v>
      </x:c>
    </x:row>
    <x:row r="21">
      <x:c r="A21" s="26" t="str">
        <x:v>Chipotle Rewards international total</x:v>
      </x:c>
      <x:c r="B21" s="26" t="str">
        <x:v>Chipotle Mexican Grill</x:v>
      </x:c>
      <x:c r="C21" s="26" t="str">
        <x:v>Restaurants &amp; QSR</x:v>
      </x:c>
      <x:c r="D21" s="26" t="str">
        <x:v>North America / Europe</x:v>
      </x:c>
      <x:c r="E21" s="26" t="str">
        <x:v>Current member total found for core program, but no clean international split.</x:v>
      </x:c>
    </x:row>
    <x:row r="22">
      <x:c r="A22" s="26" t="str">
        <x:v>dm active beauty global/CEE</x:v>
      </x:c>
      <x:c r="B22" s="26" t="str">
        <x:v>dm-drogerie markt</x:v>
      </x:c>
      <x:c r="C22" s="26" t="str">
        <x:v>Retail &amp; beauty</x:v>
      </x:c>
      <x:c r="D22" s="26" t="str">
        <x:v>Europe</x:v>
      </x:c>
      <x:c r="E22" s="26" t="str">
        <x:v>Current Czech count is available; no current consolidated global/CEE count located.</x:v>
      </x:c>
    </x:row>
    <x:row r="23">
      <x:c r="A23" s="26" t="str">
        <x:v>Lidl Plus regional splits</x:v>
      </x:c>
      <x:c r="B23" s="26" t="str">
        <x:v>Schwarz Group</x:v>
      </x:c>
      <x:c r="C23" s="26" t="str">
        <x:v>Retail &amp; grocery</x:v>
      </x:c>
      <x:c r="D23" s="26" t="str">
        <x:v>Europe / Global</x:v>
      </x:c>
      <x:c r="E23" s="26" t="str">
        <x:v>Global user count is available; current country-level splits are not consistently disclosed.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aac2753a4ae427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4" t="str">
        <x:v>Methodology, definitions and source rules</x:v>
      </x:c>
      <x:c r="B1" s="4"/>
      <x:c r="C1" s="4"/>
      <x:c r="D1" s="4"/>
      <x:c r="E1" s="4"/>
      <x:c r="F1" s="4"/>
      <x:c r="G1" s="4"/>
      <x:c r="H1" s="4"/>
    </x:row>
    <x:row r="3">
      <x:c r="A3" s="60" t="str">
        <x:v>Rule</x:v>
      </x:c>
      <x:c r="B3" s="60" t="str">
        <x:v>Explanation</x:v>
      </x:c>
    </x:row>
    <x:row r="4">
      <x:c r="A4" s="67" t="str">
        <x:v>As-of date</x:v>
      </x:c>
      <x:c r="B4" s="26" t="str">
        <x:v>2026-08-06</x:v>
      </x:c>
    </x:row>
    <x:row r="5">
      <x:c r="A5" s="67" t="str">
        <x:v>Master scope</x:v>
      </x:c>
      <x:c r="B5" s="26" t="str">
        <x:v>145 unique programs selected from 193 source observations.</x:v>
      </x:c>
    </x:row>
    <x:row r="6">
      <x:c r="A6" s="67" t="str">
        <x:v>Freshness rule</x:v>
      </x:c>
      <x:c r="B6" s="26" t="str">
        <x:v>Current means the source publication is within approximately four years of the as-of date. Older disclosures are retained only when globally important and visibly flagged.</x:v>
      </x:c>
    </x:row>
    <x:row r="7">
      <x:c r="A7" s="67" t="str">
        <x:v>Row rule</x:v>
      </x:c>
      <x:c r="B7" s="26" t="str">
        <x:v>One master row represents one named program or clearly defined portfolio. Alternative measurements are retained in All observations.</x:v>
      </x:c>
    </x:row>
    <x:row r="8">
      <x:c r="A8" s="67" t="str">
        <x:v>Members (million)</x:v>
      </x:c>
      <x:c r="B8" s="26" t="str">
        <x:v>Numeric value supplied by the source, converted to millions. Values described as 'over', 'nearly' or 'approximately' remain source-rounded.</x:v>
      </x:c>
    </x:row>
    <x:row r="9">
      <x:c r="A9" s="67" t="str">
        <x:v>Metric comparability</x:v>
      </x:c>
      <x:c r="B9" s="26" t="str">
        <x:v>Registered members, active members, households, paid subscribers, app users and portfolio totals are not directly equivalent. Always inspect Metric definition.</x:v>
      </x:c>
    </x:row>
    <x:row r="10">
      <x:c r="A10" s="67" t="str">
        <x:v>Source quality A</x:v>
      </x:c>
      <x:c r="B10" s="26" t="str">
        <x:v>Direct official company annual report, investor filing, results release or corporate press release.</x:v>
      </x:c>
    </x:row>
    <x:row r="11">
      <x:c r="A11" s="67" t="str">
        <x:v>Source quality B</x:v>
      </x:c>
      <x:c r="B11" s="26" t="str">
        <x:v>Research or industry report that explicitly cites an underlying annual report, filing, press release or company disclosure.</x:v>
      </x:c>
    </x:row>
    <x:row r="12">
      <x:c r="A12" s="67" t="str">
        <x:v>Source quality C</x:v>
      </x:c>
      <x:c r="B12" s="26" t="str">
        <x:v>Trade press, estimate, interview, analyst report or other secondary evidence. Useful for scale, but requires additional verification before high-stakes use.</x:v>
      </x:c>
    </x:row>
    <x:row r="13">
      <x:c r="A13" s="67" t="str">
        <x:v>Primary global compilation</x:v>
      </x:c>
      <x:c r="B13" s="26" t="str">
        <x:v>The World's Largest Loyalty Programs (2026), researched May–October 2025 with February 2026 updates.</x:v>
      </x:c>
    </x:row>
    <x:row r="14">
      <x:c r="A14" s="67" t="str">
        <x:v>Airline compilation</x:v>
      </x:c>
      <x:c r="B14" s="26" t="str">
        <x:v>2024 Big Book of Airline Data, including a 56-program frequent-flyer membership table with underlying source notes.</x:v>
      </x:c>
    </x:row>
    <x:row r="15">
      <x:c r="A15" s="67" t="str">
        <x:v>Deduplication</x:v>
      </x:c>
      <x:c r="B15" s="26" t="str">
        <x:v>For duplicated programs, the master generally prefers the newest direct official total. Manual overrides retain broader total membership when a direct source reports only a regional or active subset.</x:v>
      </x:c>
    </x:row>
    <x:row r="16">
      <x:c r="A16" s="67" t="str">
        <x:v>Ranking caveat</x:v>
      </x:c>
      <x:c r="B16" s="26" t="str">
        <x:v>The rank is based solely on the disclosed numeric member base, not revenue, engagement, profitability or verified unique humans.</x:v>
      </x:c>
    </x:row>
    <x:row r="17">
      <x:c r="A17" s="67" t="str">
        <x:v>Recommended use</x:v>
      </x:c>
      <x:c r="B17" s="26" t="str">
        <x:v>Use Current only for operational imports. Use Program Master for research breadth. Use All observations when reconciling competing figures.</x:v>
      </x:c>
    </x:row>
  </x:sheetData>
  <x:mergeCells>
    <x:mergeCell ref="A1:H1"/>
  </x:mergeCells>
  <x:pageMargins left="0.7" right="0.7" top="0.75" bottom="0.75" header="0.3" footer="0.3"/>
</x:worksheet>
</file>